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13_ncr:1_{808B8232-4823-4662-9394-B49B50409E81}" xr6:coauthVersionLast="47" xr6:coauthVersionMax="47" xr10:uidLastSave="{00000000-0000-0000-0000-000000000000}"/>
  <bookViews>
    <workbookView xWindow="-21900" yWindow="2040" windowWidth="21600" windowHeight="1129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" i="2" l="1"/>
  <c r="B19" i="2"/>
  <c r="C15" i="2"/>
  <c r="E16" i="2"/>
  <c r="E20" i="2"/>
  <c r="F8" i="2"/>
  <c r="D3" i="2"/>
  <c r="G12" i="2"/>
  <c r="D11" i="2"/>
  <c r="G4" i="2"/>
  <c r="D7" i="2"/>
  <c r="G8" i="2"/>
  <c r="C11" i="2"/>
  <c r="G16" i="2"/>
  <c r="D15" i="2"/>
  <c r="G20" i="2"/>
  <c r="B3" i="2"/>
  <c r="B15" i="2"/>
  <c r="E12" i="2"/>
  <c r="F12" i="2"/>
  <c r="H4" i="2"/>
  <c r="D19" i="2"/>
  <c r="E3" i="2"/>
  <c r="F16" i="2"/>
  <c r="E7" i="2"/>
  <c r="E11" i="2"/>
  <c r="H8" i="2"/>
  <c r="H12" i="2"/>
  <c r="E19" i="2"/>
  <c r="C7" i="2"/>
  <c r="F3" i="2"/>
  <c r="E15" i="2"/>
  <c r="H20" i="2"/>
  <c r="H16" i="2"/>
  <c r="F11" i="2"/>
  <c r="F20" i="2"/>
  <c r="I12" i="2"/>
  <c r="F15" i="2"/>
  <c r="F7" i="2"/>
  <c r="I4" i="2"/>
  <c r="I20" i="2"/>
  <c r="I8" i="2"/>
  <c r="E4" i="2"/>
  <c r="F19" i="2"/>
  <c r="E8" i="2"/>
  <c r="I16" i="2"/>
  <c r="D4" i="2"/>
  <c r="J8" i="2"/>
  <c r="G11" i="2"/>
  <c r="G3" i="2"/>
  <c r="B21" i="2"/>
  <c r="G15" i="2"/>
  <c r="J16" i="2"/>
  <c r="J12" i="2"/>
  <c r="J21" i="2"/>
  <c r="G19" i="2"/>
  <c r="H7" i="2"/>
  <c r="B9" i="2"/>
  <c r="C3" i="2"/>
  <c r="B7" i="2"/>
  <c r="G7" i="2"/>
  <c r="H11" i="2"/>
  <c r="I9" i="2"/>
  <c r="B13" i="2"/>
  <c r="B5" i="2"/>
  <c r="B17" i="2"/>
  <c r="H3" i="2"/>
  <c r="H19" i="2"/>
  <c r="H15" i="2"/>
  <c r="C21" i="2"/>
  <c r="D20" i="2"/>
  <c r="B11" i="2"/>
  <c r="J4" i="2"/>
  <c r="I15" i="2"/>
  <c r="F4" i="2"/>
  <c r="C13" i="2"/>
  <c r="C5" i="2"/>
  <c r="I11" i="2"/>
  <c r="C9" i="2"/>
  <c r="I7" i="2"/>
  <c r="I3" i="2"/>
  <c r="C17" i="2"/>
  <c r="I19" i="2"/>
  <c r="E21" i="2"/>
  <c r="F9" i="2"/>
  <c r="B8" i="2"/>
  <c r="F5" i="2"/>
  <c r="I5" i="2"/>
  <c r="B12" i="2"/>
  <c r="F17" i="2"/>
  <c r="F13" i="2"/>
  <c r="B16" i="2"/>
  <c r="B20" i="2"/>
  <c r="E13" i="2"/>
  <c r="H9" i="2"/>
  <c r="J19" i="2"/>
  <c r="H21" i="2"/>
  <c r="C12" i="2"/>
  <c r="C4" i="2"/>
  <c r="J15" i="2"/>
  <c r="B4" i="2"/>
  <c r="H13" i="2"/>
  <c r="C16" i="2"/>
  <c r="H17" i="2"/>
  <c r="C20" i="2"/>
  <c r="J7" i="2"/>
  <c r="I21" i="2"/>
  <c r="D12" i="2"/>
  <c r="J3" i="2"/>
  <c r="J11" i="2"/>
  <c r="E5" i="2"/>
  <c r="F21" i="2"/>
  <c r="E17" i="2"/>
  <c r="E9" i="2"/>
  <c r="I17" i="2"/>
  <c r="H5" i="2"/>
  <c r="C8" i="2"/>
  <c r="D16" i="2"/>
  <c r="I13" i="2"/>
  <c r="D8" i="2"/>
</calcChain>
</file>

<file path=xl/sharedStrings.xml><?xml version="1.0" encoding="utf-8"?>
<sst xmlns="http://schemas.openxmlformats.org/spreadsheetml/2006/main" count="29" uniqueCount="11">
  <si>
    <t>Position</t>
  </si>
  <si>
    <t>Chg</t>
  </si>
  <si>
    <t>% OI</t>
  </si>
  <si>
    <t>Investment Firms or Credit Institutions</t>
  </si>
  <si>
    <t>Long</t>
  </si>
  <si>
    <t>Short</t>
  </si>
  <si>
    <t>Net</t>
  </si>
  <si>
    <t>Investment Funds</t>
  </si>
  <si>
    <t>Other Financial Institutions</t>
  </si>
  <si>
    <t>Commercial Undertakings</t>
  </si>
  <si>
    <t>Directive Compliance Obligations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</si>
</sst>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5.86</v>
        <stp/>
        <stp>BDP|6206169026197928205|22</stp>
        <stp>IU80BNCI Index</stp>
        <stp>LAST_PRICE</stp>
        <tr r="J16" s="2"/>
      </tp>
      <tp>
        <v>1369.41</v>
        <stp/>
        <stp>BDP|2436721491740599763|22</stp>
        <stp>IU80LPLG Index</stp>
        <stp>LAST_PRICE</stp>
        <tr r="E17" s="2"/>
      </tp>
      <tp>
        <v>21744.67</v>
        <stp/>
        <stp>BDP|7424367434674235960|22</stp>
        <stp>IU80AAJH Index</stp>
        <stp>LAST_PRICE</stp>
        <tr r="B17" s="2"/>
      </tp>
      <tp>
        <v>3026.93</v>
        <stp/>
        <stp>BDP|4755575775295820616|22</stp>
        <stp>IU80XYDT Index</stp>
        <stp>LAST_PRICE</stp>
        <tr r="E15" s="2"/>
      </tp>
      <tp>
        <v>55344.85</v>
        <stp/>
        <stp>BDP|9233314800169928810|22</stp>
        <stp>IU80PACT Index</stp>
        <stp>LAST_PRICE</stp>
        <tr r="E4" s="2"/>
      </tp>
      <tp>
        <v>84.03</v>
        <stp/>
        <stp>BDP|9196899427302960442|22</stp>
        <stp>IU80PLIQ Index</stp>
        <stp>LAST_PRICE</stp>
        <tr r="J4" s="2"/>
      </tp>
      <tp>
        <v>281</v>
        <stp/>
        <stp>BDP|3536556262132849711|22</stp>
        <stp>IU80BWFD Index</stp>
        <stp>LAST_PRICE</stp>
        <tr r="E21" s="2"/>
      </tp>
      <tp>
        <v>20.399999999999999</v>
        <stp/>
        <stp>BDP|7708666817474482368|22</stp>
        <stp>IU80JCIV Index</stp>
        <stp>LAST_PRICE</stp>
        <tr r="J3" s="2"/>
      </tp>
      <tp>
        <v>0</v>
        <stp/>
        <stp>BDP|8411749862448895900|22</stp>
        <stp>IU80TIFI Index</stp>
        <stp>LAST_PRICE</stp>
        <tr r="B12" s="2"/>
      </tp>
      <tp>
        <v>4334</v>
        <stp/>
        <stp>BDP|6827304501752692027|22</stp>
        <stp>IU80LWBJ Index</stp>
        <stp>LAST_PRICE</stp>
        <tr r="E8" s="2"/>
      </tp>
      <tp>
        <v>4334</v>
        <stp/>
        <stp>BDP|2433739378945907851|22</stp>
        <stp>IU80GKLQ Index</stp>
        <stp>LAST_PRICE</stp>
        <tr r="H8" s="2"/>
      </tp>
      <tp>
        <v>660</v>
        <stp/>
        <stp>BDP|6335450740650464761|22</stp>
        <stp>IU80MXKT Index</stp>
        <stp>LAST_PRICE</stp>
        <tr r="H19" s="2"/>
      </tp>
      <tp>
        <v>0.66</v>
        <stp/>
        <stp>BDP|9384128714588687687|22</stp>
        <stp>IU80URJU Index</stp>
        <stp>LAST_PRICE</stp>
        <tr r="G19" s="2"/>
      </tp>
      <tp>
        <v>0</v>
        <stp/>
        <stp>BDP|7395942696521380291|22</stp>
        <stp>IU80XSKZ Index</stp>
        <stp>LAST_PRICE</stp>
        <tr r="J12" s="2"/>
      </tp>
      <tp>
        <v>20.399999999999999</v>
        <stp/>
        <stp>BDP|7479245484708343056|22</stp>
        <stp>IU80TKAC Index</stp>
        <stp>LAST_PRICE</stp>
        <tr r="G3" s="2"/>
      </tp>
      <tp>
        <v>23114.080000000002</v>
        <stp/>
        <stp>BDP|9373663122999502051|22</stp>
        <stp>IU80WADG Index</stp>
        <stp>LAST_PRICE</stp>
        <tr r="H17" s="2"/>
      </tp>
      <tp>
        <v>3.3</v>
        <stp/>
        <stp>BDP|5456236118791237639|22</stp>
        <stp>IU80XAMA Index</stp>
        <stp>LAST_PRICE</stp>
        <tr r="D20" s="2"/>
      </tp>
      <tp>
        <v>0.23</v>
        <stp/>
        <stp>BDP|1982174584735205736|22</stp>
        <stp>IU80CMNN Index</stp>
        <stp>LAST_PRICE</stp>
        <tr r="G20" s="2"/>
      </tp>
      <tp>
        <v>36.35</v>
        <stp/>
        <stp>BDP|4767731025335706839|22</stp>
        <stp>IU80APAC Index</stp>
        <stp>LAST_PRICE</stp>
        <tr r="J7" s="2"/>
      </tp>
      <tp>
        <v>1.01</v>
        <stp/>
        <stp>BDP|7493297061680615743|22</stp>
        <stp>IU80ZLIW Index</stp>
        <stp>LAST_PRICE</stp>
        <tr r="J19" s="2"/>
      </tp>
      <tp>
        <v>-1945</v>
        <stp/>
        <stp>BDP|9932693471053406555|22</stp>
        <stp>IU80OOXC Index</stp>
        <stp>LAST_PRICE</stp>
        <tr r="B21" s="2"/>
      </tp>
      <tp>
        <v>0</v>
        <stp/>
        <stp>BDP|5839771100918116643|22</stp>
        <stp>IU80ELRX Index</stp>
        <stp>LAST_PRICE</stp>
        <tr r="D7" s="2"/>
      </tp>
      <tp>
        <v>23809.19</v>
        <stp/>
        <stp>BDP|4525681551345402499|22</stp>
        <stp>IU80MHZA Index</stp>
        <stp>LAST_PRICE</stp>
        <tr r="H7" s="2"/>
      </tp>
      <tp>
        <v>1.07</v>
        <stp/>
        <stp>BDP|3474225447886832758|22</stp>
        <stp>IU80SVVX Index</stp>
        <stp>LAST_PRICE</stp>
        <tr r="G11" s="2"/>
      </tp>
      <tp>
        <v>0</v>
        <stp/>
        <stp>BDP|1812631927011180746|22</stp>
        <stp>IU80DXTZ Index</stp>
        <stp>LAST_PRICE</stp>
        <tr r="B3" s="2"/>
      </tp>
      <tp>
        <v>0</v>
        <stp/>
        <stp>BDP|8114708040367859867|22</stp>
        <stp>IU80YSRP Index</stp>
        <stp>LAST_PRICE</stp>
        <tr r="D8" s="2"/>
      </tp>
      <tp>
        <v>4.62</v>
        <stp/>
        <stp>BDP|9195925819331730870|22</stp>
        <stp>IU80FSWP Index</stp>
        <stp>LAST_PRICE</stp>
        <tr r="G15" s="2"/>
      </tp>
      <tp>
        <v>0</v>
        <stp/>
        <stp>BDP|8024176373780672092|22</stp>
        <stp>IU80FFWD Index</stp>
        <stp>LAST_PRICE</stp>
        <tr r="B7" s="2"/>
      </tp>
      <tp>
        <v>6.58</v>
        <stp/>
        <stp>BDP|6893817222915346807|22</stp>
        <stp>IU80WVTK Index</stp>
        <stp>LAST_PRICE</stp>
        <tr r="G8" s="2"/>
      </tp>
      <tp>
        <v>26968.6</v>
        <stp/>
        <stp>BDP|6265975598389184028|22</stp>
        <stp>IU80VDQG Index</stp>
        <stp>LAST_PRICE</stp>
        <tr r="H15" s="2"/>
      </tp>
      <tp>
        <v>0</v>
        <stp/>
        <stp>BDP|2442924278287162078|22</stp>
        <stp>IU80EIVC Index</stp>
        <stp>LAST_PRICE</stp>
        <tr r="B13" s="2"/>
      </tp>
      <tp>
        <v>-41980.03</v>
        <stp/>
        <stp>BDP|1878325957144018846|22</stp>
        <stp>IU80FCWY Index</stp>
        <stp>LAST_PRICE</stp>
        <tr r="E5" s="2"/>
      </tp>
      <tp>
        <v>23941.67</v>
        <stp/>
        <stp>BDP|5957018123176444282|22</stp>
        <stp>IU80EXRU Index</stp>
        <stp>LAST_PRICE</stp>
        <tr r="B15" s="2"/>
      </tp>
      <tp>
        <v>1.07</v>
        <stp/>
        <stp>BDP|3253728592539541324|22</stp>
        <stp>IU80NFPU Index</stp>
        <stp>LAST_PRICE</stp>
        <tr r="J11" s="2"/>
      </tp>
      <tp>
        <v>2197</v>
        <stp/>
        <stp>BDP|1331457073777128013|22</stp>
        <stp>IU80YKQK Index</stp>
        <stp>LAST_PRICE</stp>
        <tr r="B16" s="2"/>
      </tp>
      <tp>
        <v>149</v>
        <stp/>
        <stp>BDP|8619147015725775717|22</stp>
        <stp>IU80QAUR Index</stp>
        <stp>LAST_PRICE</stp>
        <tr r="E20" s="2"/>
      </tp>
      <tp>
        <v>0</v>
        <stp/>
        <stp>BDP|9284279431988733479|22</stp>
        <stp>IU80SQPV Index</stp>
        <stp>LAST_PRICE</stp>
        <tr r="H12" s="2"/>
      </tp>
      <tp>
        <v>0.35</v>
        <stp/>
        <stp>BDP|9835119161860992361|22</stp>
        <stp>IU80WZPM Index</stp>
        <stp>LAST_PRICE</stp>
        <tr r="D19" s="2"/>
      </tp>
      <tp>
        <v>699</v>
        <stp/>
        <stp>BDP|8099194116648887145|22</stp>
        <stp>IU80TITP Index</stp>
        <stp>LAST_PRICE</stp>
        <tr r="E11" s="2"/>
      </tp>
      <tp>
        <v>230</v>
        <stp/>
        <stp>BDP|17498591896514236674|22</stp>
        <stp>IU80QCTN Index</stp>
        <stp>LAST_PRICE</stp>
        <tr r="B19" s="2"/>
      </tp>
      <tp>
        <v>13364.82</v>
        <stp/>
        <stp>BDP|11515876662355568088|22</stp>
        <stp>IU80SOVM Index</stp>
        <stp>LAST_PRICE</stp>
        <tr r="E3" s="2"/>
      </tp>
      <tp>
        <v>-14.75</v>
        <stp/>
        <stp>BDP|9939976685195603963|22</stp>
        <stp>IU80VSQW Index</stp>
        <stp>RT_PX_CHG_NET_1D</stp>
        <tr r="I9" s="2"/>
      </tp>
      <tp>
        <v>14.25</v>
        <stp/>
        <stp>BDP|6379543323291109587|22</stp>
        <stp>IU80YDTT Index</stp>
        <stp>RT_PX_CHG_NET_1D</stp>
        <tr r="F7" s="2"/>
      </tp>
      <tp>
        <v>19475.189999999999</v>
        <stp/>
        <stp>BDP|13367155763019480583|22</stp>
        <stp>IU80VSQW Index</stp>
        <stp>LAST_PRICE</stp>
        <tr r="H9" s="2"/>
      </tp>
      <tp>
        <v>1657.52</v>
        <stp/>
        <stp>BDP|14832360464389354230|22</stp>
        <stp>IU80QDRX Index</stp>
        <stp>LAST_PRICE</stp>
        <tr r="E16" s="2"/>
      </tp>
      <tp>
        <v>3.53</v>
        <stp/>
        <stp>BDP|14384610600750272195|22</stp>
        <stp>IU80YOQM Index</stp>
        <stp>LAST_PRICE</stp>
        <tr r="J21" s="2"/>
      </tp>
      <tp>
        <v>699</v>
        <stp/>
        <stp>BDP|12148543172363019472|22</stp>
        <stp>IU80LCXM Index</stp>
        <stp>LAST_PRICE</stp>
        <tr r="E13" s="2"/>
      </tp>
      <tp>
        <v>-24</v>
        <stp/>
        <stp>BDP|3485730311240392623|22</stp>
        <stp>IU80QAUR Index</stp>
        <stp>RT_PX_CHG_NET_1D</stp>
        <tr r="F20" s="2"/>
      </tp>
      <tp t="s">
        <v>#N/A N/A</v>
        <stp/>
        <stp>BDP|1782412265327686011|22</stp>
        <stp>IU80SQPV Index</stp>
        <stp>RT_PX_CHG_NET_1D</stp>
        <tr r="I12" s="2"/>
      </tp>
      <tp t="s">
        <v>#N/A N/A</v>
        <stp/>
        <stp>BDP|2947249413545427759|22</stp>
        <stp>IU80TTSU Index</stp>
        <stp>RT_PX_CHG_NET_1D</stp>
        <tr r="C8" s="2"/>
      </tp>
      <tp>
        <v>993.37</v>
        <stp/>
        <stp>BDP|3023942350720135839|22</stp>
        <stp>IU80SOVM Index</stp>
        <stp>RT_PX_CHG_NET_1D</stp>
        <tr r="F3" s="2"/>
      </tp>
      <tp>
        <v>23809.19</v>
        <stp/>
        <stp>BDP|11369687466914018644|22</stp>
        <stp>IU80YDTT Index</stp>
        <stp>LAST_PRICE</stp>
        <tr r="E7" s="2"/>
      </tp>
      <tp>
        <v>0</v>
        <stp/>
        <stp>BDP|17133290000052465076|22</stp>
        <stp>IU80SCVE Index</stp>
        <stp>LAST_PRICE</stp>
        <tr r="B5" s="2"/>
      </tp>
      <tp>
        <v>132.15</v>
        <stp/>
        <stp>BDP|3730095746142270110|22</stp>
        <stp>IU80YKQK Index</stp>
        <stp>RT_PX_CHG_NET_1D</stp>
        <tr r="C16" s="2"/>
      </tp>
      <tp>
        <v>0</v>
        <stp/>
        <stp>BDP|4582290254987296245|22</stp>
        <stp>IU80TITP Index</stp>
        <stp>RT_PX_CHG_NET_1D</stp>
        <tr r="F11" s="2"/>
      </tp>
      <tp>
        <v>-17</v>
        <stp/>
        <stp>BDP|2858530762840052050|22</stp>
        <stp>IU80SNEP Index</stp>
        <stp>RT_PX_CHG_NET_1D</stp>
        <tr r="C20" s="2"/>
      </tp>
      <tp>
        <v>0</v>
        <stp/>
        <stp>BDP|15313830496033747018|22</stp>
        <stp>IU80TTSU Index</stp>
        <stp>LAST_PRICE</stp>
        <tr r="B8" s="2"/>
      </tp>
      <tp>
        <v>-16.91</v>
        <stp/>
        <stp>BDP|6252337324998375562|22</stp>
        <stp>IU80VDQG Index</stp>
        <stp>RT_PX_CHG_NET_1D</stp>
        <tr r="I15" s="2"/>
      </tp>
      <tp>
        <v>0</v>
        <stp/>
        <stp>BDP|17742320742971112472|22</stp>
        <stp>IU80XWQO Index</stp>
        <stp>LAST_PRICE</stp>
        <tr r="B4" s="2"/>
      </tp>
      <tp t="s">
        <v>#N/A N/A</v>
        <stp/>
        <stp>BDP|6617743592553997593|22</stp>
        <stp>IU80XWQO Index</stp>
        <stp>RT_PX_CHG_NET_1D</stp>
        <tr r="C4" s="2"/>
      </tp>
      <tp>
        <v>810.54</v>
        <stp/>
        <stp>BDP|9921792351908313618|22</stp>
        <stp>IU80YJER Index</stp>
        <stp>RT_PX_CHG_NET_1D</stp>
        <tr r="I4" s="2"/>
      </tp>
      <tp>
        <v>36.35</v>
        <stp/>
        <stp>BDP|12590340703138852476|22</stp>
        <stp>IU80LUZX Index</stp>
        <stp>LAST_PRICE</stp>
        <tr r="G7" s="2"/>
      </tp>
      <tp>
        <v>3.34</v>
        <stp/>
        <stp>BDP|15178838511689701106|22</stp>
        <stp>IU80NLSL Index</stp>
        <stp>LAST_PRICE</stp>
        <tr r="D16" s="2"/>
      </tp>
      <tp>
        <v>-41</v>
        <stp/>
        <stp>BDP|1009807506524393218|22</stp>
        <stp>IU80RKXO Index</stp>
        <stp>RT_PX_CHG_NET_1D</stp>
        <tr r="I20" s="2"/>
      </tp>
      <tp>
        <v>-41980.03</v>
        <stp/>
        <stp>BDP|10914339895621401069|22</stp>
        <stp>IU80OHYS Index</stp>
        <stp>LAST_PRICE</stp>
        <tr r="H5" s="2"/>
      </tp>
      <tp>
        <v>2324</v>
        <stp/>
        <stp>BDP|14683458300016910160|22</stp>
        <stp>IU80RKXO Index</stp>
        <stp>LAST_PRICE</stp>
        <tr r="H20" s="2"/>
      </tp>
      <tp t="s">
        <v>#N/A N/A</v>
        <stp/>
        <stp>BDP|9903070737751958871|22</stp>
        <stp>IU80TIFI Index</stp>
        <stp>RT_PX_CHG_NET_1D</stp>
        <tr r="C12" s="2"/>
      </tp>
      <tp>
        <v>0</v>
        <stp/>
        <stp>BDP|14678369320572162054|22</stp>
        <stp>IU80FYND Index</stp>
        <stp>LAST_PRICE</stp>
        <tr r="G12" s="2"/>
      </tp>
      <tp>
        <v>0</v>
        <stp/>
        <stp>BDP|6717222140844780872|22</stp>
        <stp>IU80AEGX Index</stp>
        <stp>RT_PX_CHG_NET_1D</stp>
        <tr r="I11" s="2"/>
      </tp>
      <tp>
        <v>29</v>
        <stp/>
        <stp>BDP|7219295122260125857|22</stp>
        <stp>IU80HNWB Index</stp>
        <stp>RT_PX_CHG_NET_1D</stp>
        <tr r="F19" s="2"/>
      </tp>
      <tp>
        <v>699</v>
        <stp/>
        <stp>BDP|14287631952809964657|22</stp>
        <stp>IU80AEGX Index</stp>
        <stp>LAST_PRICE</stp>
        <tr r="H11" s="2"/>
      </tp>
      <tp>
        <v>19475.189999999999</v>
        <stp/>
        <stp>BDP|14843980657024602385|22</stp>
        <stp>IU80AVAK Index</stp>
        <stp>LAST_PRICE</stp>
        <tr r="E9" s="2"/>
      </tp>
      <tp>
        <v>2.52</v>
        <stp/>
        <stp>BDP|12160062089160646193|22</stp>
        <stp>IU80ZTIH Index</stp>
        <stp>LAST_PRICE</stp>
        <tr r="G16" s="2"/>
      </tp>
      <tp>
        <v>0</v>
        <stp/>
        <stp>BDP|11419562774747060674|22</stp>
        <stp>IU80JIHS Index</stp>
        <stp>LAST_PRICE</stp>
        <tr r="D4" s="2"/>
      </tp>
      <tp>
        <v>0</v>
        <stp/>
        <stp>BDP|17062632972600946269|22</stp>
        <stp>IU80HKGO Index</stp>
        <stp>LAST_PRICE</stp>
        <tr r="B11" s="2"/>
      </tp>
      <tp>
        <v>0</v>
        <stp/>
        <stp>BDP|9416668620644009038|22</stp>
        <stp>IU80LCXM Index</stp>
        <stp>RT_PX_CHG_NET_1D</stp>
        <tr r="F13" s="2"/>
      </tp>
      <tp>
        <v>0</v>
        <stp/>
        <stp>BDP|18317859987888555918|22</stp>
        <stp>IU80WQJC Index</stp>
        <stp>LAST_PRICE</stp>
        <tr r="D12" s="2"/>
      </tp>
      <tp>
        <v>32</v>
        <stp/>
        <stp>BDP|3785330947252263916|22</stp>
        <stp>IU80MXKT Index</stp>
        <stp>RT_PX_CHG_NET_1D</stp>
        <tr r="I19" s="2"/>
      </tp>
      <tp t="s">
        <v>#N/A N/A</v>
        <stp/>
        <stp>BDP|5903748948432456478|22</stp>
        <stp>IU80HKGO Index</stp>
        <stp>RT_PX_CHG_NET_1D</stp>
        <tr r="C11" s="2"/>
      </tp>
      <tp>
        <v>2175</v>
        <stp/>
        <stp>BDP|10745859439261139233|22</stp>
        <stp>IU80SNEP Index</stp>
        <stp>LAST_PRICE</stp>
        <tr r="B20" s="2"/>
      </tp>
      <tp>
        <v>0</v>
        <stp/>
        <stp>BDP|14202921143211128325|22</stp>
        <stp>IU80NIMQ Index</stp>
        <stp>LAST_PRICE</stp>
        <tr r="D3" s="2"/>
      </tp>
      <tp>
        <v>0</v>
        <stp/>
        <stp>BDP|12248517664747836200|22</stp>
        <stp>IU80QUMY Index</stp>
        <stp>LAST_PRICE</stp>
        <tr r="E12" s="2"/>
      </tp>
      <tp t="s">
        <v>#N/A N/A</v>
        <stp/>
        <stp>BDP|4759070030710566029|22</stp>
        <stp>IU80DHGJ Index</stp>
        <stp>RT_PX_CHG_NET_1D</stp>
        <tr r="C9" s="2"/>
      </tp>
      <tp>
        <v>55344.85</v>
        <stp/>
        <stp>BDP|10696933873651716078|22</stp>
        <stp>IU80YJER Index</stp>
        <stp>LAST_PRICE</stp>
        <tr r="H4" s="2"/>
      </tp>
      <tp>
        <v>0</v>
        <stp/>
        <stp>BDP|10147872722233134347|22</stp>
        <stp>IU80ALBA Index</stp>
        <stp>LAST_PRICE</stp>
        <tr r="D11" s="2"/>
      </tp>
      <tp>
        <v>699</v>
        <stp/>
        <stp>BDP|10079602920228868806|22</stp>
        <stp>IU80LGHP Index</stp>
        <stp>LAST_PRICE</stp>
        <tr r="H13" s="2"/>
      </tp>
      <tp>
        <v>13364.82</v>
        <stp/>
        <stp>BDP|16883493150000851201|22</stp>
        <stp>IU80LTIS Index</stp>
        <stp>LAST_PRICE</stp>
        <tr r="H3" s="2"/>
      </tp>
      <tp>
        <v>84.03</v>
        <stp/>
        <stp>BDP|16431871328373861206|22</stp>
        <stp>IU80BDCL Index</stp>
        <stp>LAST_PRICE</stp>
        <tr r="G4" s="2"/>
      </tp>
      <tp>
        <v>29</v>
        <stp/>
        <stp>BDP|6383567478491727728|22</stp>
        <stp>IU80GKLQ Index</stp>
        <stp>RT_PX_CHG_NET_1D</stp>
        <tr r="I8" s="2"/>
      </tp>
      <tp>
        <v>6.58</v>
        <stp/>
        <stp>BDP|10307655725660601644|22</stp>
        <stp>IU80QXFY Index</stp>
        <stp>LAST_PRICE</stp>
        <tr r="J8" s="2"/>
      </tp>
      <tp>
        <v>-65.319999999999993</v>
        <stp/>
        <stp>BDP|8335454069518647768|22</stp>
        <stp>IU80LPLG Index</stp>
        <stp>RT_PX_CHG_NET_1D</stp>
        <tr r="F17" s="2"/>
      </tp>
      <tp>
        <v>0</v>
        <stp/>
        <stp>BDP|15484994528836674507|22</stp>
        <stp>IU80DHGJ Index</stp>
        <stp>LAST_PRICE</stp>
        <tr r="B9" s="2"/>
      </tp>
      <tp>
        <v>36.549999999999997</v>
        <stp/>
        <stp>BDP|13391817956082995501|22</stp>
        <stp>IU80TVHP Index</stp>
        <stp>LAST_PRICE</stp>
        <tr r="D15" s="2"/>
      </tp>
      <tp>
        <v>3854.52</v>
        <stp/>
        <stp>BDP|16436800411761610276|22</stp>
        <stp>IU80FHAX Index</stp>
        <stp>LAST_PRICE</stp>
        <tr r="H16" s="2"/>
      </tp>
      <tp t="s">
        <v>#N/A N/A</v>
        <stp/>
        <stp>BDP|106770321045556207|22</stp>
        <stp>IU80EIVC Index</stp>
        <stp>RT_PX_CHG_NET_1D</stp>
        <tr r="C13" s="2"/>
      </tp>
      <tp t="s">
        <v>#N/A N/A</v>
        <stp/>
        <stp>BDP|10182245156769183858|22</stp>
        <stp>IU80QUMY Index</stp>
        <stp>RT_PX_CHG_NET_1D</stp>
        <tr r="F12" s="2"/>
      </tp>
      <tp>
        <v>41.17</v>
        <stp/>
        <stp>BDP|304599296358598508|22</stp>
        <stp>IU80BTTU Index</stp>
        <stp>LAST_PRICE</stp>
        <tr r="J15" s="2"/>
      </tp>
      <tp>
        <v>810.54</v>
        <stp/>
        <stp>BDP|13163966922279138289|22</stp>
        <stp>IU80PACT Index</stp>
        <stp>RT_PX_CHG_NET_1D</stp>
        <tr r="F4" s="2"/>
      </tp>
      <tp>
        <v>-545.83000000000004</v>
        <stp/>
        <stp>BDP|18281257227451762537|22</stp>
        <stp>IU80WADG Index</stp>
        <stp>RT_PX_CHG_NET_1D</stp>
        <tr r="I17" s="2"/>
      </tp>
      <tp>
        <v>331.45</v>
        <stp/>
        <stp>BDP|12289997739137546550|22</stp>
        <stp>IU80XYDT Index</stp>
        <stp>RT_PX_CHG_NET_1D</stp>
        <tr r="F15" s="2"/>
      </tp>
      <tp>
        <v>3</v>
        <stp/>
        <stp>BDP|10333748407394183048|22</stp>
        <stp>IU80QCTN Index</stp>
        <stp>RT_PX_CHG_NET_1D</stp>
        <tr r="C19" s="2"/>
      </tp>
      <tp>
        <v>430</v>
        <stp/>
        <stp>BDP|153629975155155532|22</stp>
        <stp>IU80HNWB Index</stp>
        <stp>LAST_PRICE</stp>
        <tr r="E19" s="2"/>
      </tp>
      <tp t="s">
        <v>#N/A N/A</v>
        <stp/>
        <stp>BDP|15298533424817656031|22</stp>
        <stp>IU80SCVE Index</stp>
        <stp>RT_PX_CHG_NET_1D</stp>
        <tr r="C5" s="2"/>
      </tp>
      <tp t="s">
        <v>#N/A N/A</v>
        <stp/>
        <stp>BDP|16745309371852851699|22</stp>
        <stp>IU80DXTZ Index</stp>
        <stp>RT_PX_CHG_NET_1D</stp>
        <tr r="C3" s="2"/>
      </tp>
      <tp>
        <v>-348.36</v>
        <stp/>
        <stp>BDP|11471553370129543986|22</stp>
        <stp>IU80EXRU Index</stp>
        <stp>RT_PX_CHG_NET_1D</stp>
        <tr r="C15" s="2"/>
      </tp>
      <tp>
        <v>528.91999999999996</v>
        <stp/>
        <stp>BDP|13936974072033704198|22</stp>
        <stp>IU80FHAX Index</stp>
        <stp>RT_PX_CHG_NET_1D</stp>
        <tr r="I16" s="2"/>
      </tp>
      <tp>
        <v>182.83</v>
        <stp/>
        <stp>BDP|12815768757520162327|22</stp>
        <stp>IU80FCWY Index</stp>
        <stp>RT_PX_CHG_NET_1D</stp>
        <tr r="F5" s="2"/>
      </tp>
      <tp>
        <v>396.77</v>
        <stp/>
        <stp>BDP|582180001124160296|22</stp>
        <stp>IU80QDRX Index</stp>
        <stp>RT_PX_CHG_NET_1D</stp>
        <tr r="F16" s="2"/>
      </tp>
      <tp>
        <v>20</v>
        <stp/>
        <stp>BDP|12632024923723044677|22</stp>
        <stp>IU80OOXC Index</stp>
        <stp>RT_PX_CHG_NET_1D</stp>
        <tr r="C21" s="2"/>
      </tp>
      <tp>
        <v>-14.75</v>
        <stp/>
        <stp>BDP|11291051322956005931|22</stp>
        <stp>IU80AVAK Index</stp>
        <stp>RT_PX_CHG_NET_1D</stp>
        <tr r="F9" s="2"/>
      </tp>
      <tp>
        <v>53</v>
        <stp/>
        <stp>BDP|10574114000016077326|22</stp>
        <stp>IU80BWFD Index</stp>
        <stp>RT_PX_CHG_NET_1D</stp>
        <tr r="F21" s="2"/>
      </tp>
      <tp t="s">
        <v>#N/A N/A</v>
        <stp/>
        <stp>BDP|14842454229989540677|22</stp>
        <stp>IU80FFWD Index</stp>
        <stp>RT_PX_CHG_NET_1D</stp>
        <tr r="C7" s="2"/>
      </tp>
      <tp>
        <v>0</v>
        <stp/>
        <stp>BDP|14594064400461435979|22</stp>
        <stp>IU80LGHP Index</stp>
        <stp>RT_PX_CHG_NET_1D</stp>
        <tr r="I13" s="2"/>
      </tp>
      <tp>
        <v>73</v>
        <stp/>
        <stp>BDP|16899115106262289848|22</stp>
        <stp>IU80MHIR Index</stp>
        <stp>RT_PX_CHG_NET_1D</stp>
        <tr r="I21" s="2"/>
      </tp>
      <tp>
        <v>993.37</v>
        <stp/>
        <stp>BDP|11834382527861030166|22</stp>
        <stp>IU80LTIS Index</stp>
        <stp>RT_PX_CHG_NET_1D</stp>
        <tr r="I3" s="2"/>
      </tp>
      <tp>
        <v>-1664</v>
        <stp/>
        <stp>BDP|625649108140339014|22</stp>
        <stp>IU80MHIR Index</stp>
        <stp>LAST_PRICE</stp>
        <tr r="H21" s="2"/>
      </tp>
      <tp>
        <v>-480.51</v>
        <stp/>
        <stp>BDP|15522300299882280251|22</stp>
        <stp>IU80AAJH Index</stp>
        <stp>RT_PX_CHG_NET_1D</stp>
        <tr r="C17" s="2"/>
      </tp>
      <tp>
        <v>182.83</v>
        <stp/>
        <stp>BDP|13708891935570280439|22</stp>
        <stp>IU80OHYS Index</stp>
        <stp>RT_PX_CHG_NET_1D</stp>
        <tr r="I5" s="2"/>
      </tp>
      <tp>
        <v>14.25</v>
        <stp/>
        <stp>BDP|12744607934114708815|22</stp>
        <stp>IU80MHZA Index</stp>
        <stp>RT_PX_CHG_NET_1D</stp>
        <tr r="I7" s="2"/>
      </tp>
      <tp>
        <v>29</v>
        <stp/>
        <stp>BDP|11351611955698164672|22</stp>
        <stp>IU80LWBJ Index</stp>
        <stp>RT_PX_CHG_NET_1D</stp>
        <tr r="F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M7" sqref="M7"/>
    </sheetView>
  </sheetViews>
  <sheetFormatPr defaultRowHeight="15" x14ac:dyDescent="0.25"/>
  <cols>
    <col min="1" max="10" width="9.140625" bestFit="1" customWidth="1"/>
  </cols>
  <sheetData>
    <row r="1" spans="1:10" x14ac:dyDescent="0.25">
      <c r="A1" s="1"/>
      <c r="B1" s="1" t="s">
        <v>0</v>
      </c>
      <c r="C1" s="1" t="s">
        <v>1</v>
      </c>
      <c r="D1" s="1" t="s">
        <v>2</v>
      </c>
      <c r="E1" s="1" t="s">
        <v>0</v>
      </c>
      <c r="F1" s="1" t="s">
        <v>1</v>
      </c>
      <c r="G1" s="1" t="s">
        <v>2</v>
      </c>
      <c r="H1" s="1" t="s">
        <v>0</v>
      </c>
      <c r="I1" s="1" t="s">
        <v>1</v>
      </c>
      <c r="J1" s="1" t="s">
        <v>2</v>
      </c>
    </row>
    <row r="2" spans="1:10" x14ac:dyDescent="0.25">
      <c r="A2" t="s">
        <v>3</v>
      </c>
    </row>
    <row r="3" spans="1:10" x14ac:dyDescent="0.25">
      <c r="A3" t="s">
        <v>4</v>
      </c>
      <c r="B3">
        <f>_xll.BDP("IU80DXTZ Index", "LAST_PRICE")</f>
        <v>0</v>
      </c>
      <c r="C3" t="str">
        <f>_xll.BDP("IU80DXTZ Index", "RT_PX_CHG_NET_1D")</f>
        <v>#N/A N/A</v>
      </c>
      <c r="D3">
        <f>_xll.BDP("IU80NIMQ Index", "LAST_PRICE")</f>
        <v>0</v>
      </c>
      <c r="E3">
        <f>_xll.BDP("IU80SOVM Index", "LAST_PRICE")</f>
        <v>13364.82</v>
      </c>
      <c r="F3">
        <f>_xll.BDP("IU80SOVM Index", "RT_PX_CHG_NET_1D")</f>
        <v>993.37</v>
      </c>
      <c r="G3">
        <f>_xll.BDP("IU80TKAC Index", "LAST_PRICE")</f>
        <v>20.399999999999999</v>
      </c>
      <c r="H3">
        <f>_xll.BDP("IU80LTIS Index", "LAST_PRICE")</f>
        <v>13364.82</v>
      </c>
      <c r="I3">
        <f>_xll.BDP("IU80LTIS Index", "RT_PX_CHG_NET_1D")</f>
        <v>993.37</v>
      </c>
      <c r="J3">
        <f>_xll.BDP("IU80JCIV Index", "LAST_PRICE")</f>
        <v>20.399999999999999</v>
      </c>
    </row>
    <row r="4" spans="1:10" x14ac:dyDescent="0.25">
      <c r="A4" t="s">
        <v>5</v>
      </c>
      <c r="B4">
        <f>_xll.BDP("IU80XWQO Index", "LAST_PRICE")</f>
        <v>0</v>
      </c>
      <c r="C4" t="str">
        <f>_xll.BDP("IU80XWQO Index", "RT_PX_CHG_NET_1D")</f>
        <v>#N/A N/A</v>
      </c>
      <c r="D4">
        <f>_xll.BDP("IU80JIHS Index", "LAST_PRICE")</f>
        <v>0</v>
      </c>
      <c r="E4">
        <f>_xll.BDP("IU80PACT Index", "LAST_PRICE")</f>
        <v>55344.85</v>
      </c>
      <c r="F4">
        <f>_xll.BDP("IU80PACT Index", "RT_PX_CHG_NET_1D")</f>
        <v>810.54</v>
      </c>
      <c r="G4">
        <f>_xll.BDP("IU80BDCL Index", "LAST_PRICE")</f>
        <v>84.03</v>
      </c>
      <c r="H4">
        <f>_xll.BDP("IU80YJER Index", "LAST_PRICE")</f>
        <v>55344.85</v>
      </c>
      <c r="I4">
        <f>_xll.BDP("IU80YJER Index", "RT_PX_CHG_NET_1D")</f>
        <v>810.54</v>
      </c>
      <c r="J4">
        <f>_xll.BDP("IU80PLIQ Index", "LAST_PRICE")</f>
        <v>84.03</v>
      </c>
    </row>
    <row r="5" spans="1:10" x14ac:dyDescent="0.25">
      <c r="A5" t="s">
        <v>6</v>
      </c>
      <c r="B5">
        <f>_xll.BDP("IU80SCVE Index", "LAST_PRICE")</f>
        <v>0</v>
      </c>
      <c r="C5" t="str">
        <f>_xll.BDP("IU80SCVE Index", "RT_PX_CHG_NET_1D")</f>
        <v>#N/A N/A</v>
      </c>
      <c r="E5">
        <f>_xll.BDP("IU80FCWY Index", "LAST_PRICE")</f>
        <v>-41980.03</v>
      </c>
      <c r="F5">
        <f>_xll.BDP("IU80FCWY Index", "RT_PX_CHG_NET_1D")</f>
        <v>182.83</v>
      </c>
      <c r="H5">
        <f>_xll.BDP("IU80OHYS Index", "LAST_PRICE")</f>
        <v>-41980.03</v>
      </c>
      <c r="I5">
        <f>_xll.BDP("IU80OHYS Index", "RT_PX_CHG_NET_1D")</f>
        <v>182.83</v>
      </c>
    </row>
    <row r="6" spans="1:10" x14ac:dyDescent="0.25">
      <c r="A6" t="s">
        <v>7</v>
      </c>
    </row>
    <row r="7" spans="1:10" x14ac:dyDescent="0.25">
      <c r="A7" t="s">
        <v>4</v>
      </c>
      <c r="B7">
        <f>_xll.BDP("IU80FFWD Index", "LAST_PRICE")</f>
        <v>0</v>
      </c>
      <c r="C7" t="str">
        <f>_xll.BDP("IU80FFWD Index", "RT_PX_CHG_NET_1D")</f>
        <v>#N/A N/A</v>
      </c>
      <c r="D7">
        <f>_xll.BDP("IU80ELRX Index", "LAST_PRICE")</f>
        <v>0</v>
      </c>
      <c r="E7">
        <f>_xll.BDP("IU80YDTT Index", "LAST_PRICE")</f>
        <v>23809.19</v>
      </c>
      <c r="F7">
        <f>_xll.BDP("IU80YDTT Index", "RT_PX_CHG_NET_1D")</f>
        <v>14.25</v>
      </c>
      <c r="G7">
        <f>_xll.BDP("IU80LUZX Index", "LAST_PRICE")</f>
        <v>36.35</v>
      </c>
      <c r="H7">
        <f>_xll.BDP("IU80MHZA Index", "LAST_PRICE")</f>
        <v>23809.19</v>
      </c>
      <c r="I7">
        <f>_xll.BDP("IU80MHZA Index", "RT_PX_CHG_NET_1D")</f>
        <v>14.25</v>
      </c>
      <c r="J7">
        <f>_xll.BDP("IU80APAC Index", "LAST_PRICE")</f>
        <v>36.35</v>
      </c>
    </row>
    <row r="8" spans="1:10" x14ac:dyDescent="0.25">
      <c r="A8" t="s">
        <v>5</v>
      </c>
      <c r="B8">
        <f>_xll.BDP("IU80TTSU Index", "LAST_PRICE")</f>
        <v>0</v>
      </c>
      <c r="C8" t="str">
        <f>_xll.BDP("IU80TTSU Index", "RT_PX_CHG_NET_1D")</f>
        <v>#N/A N/A</v>
      </c>
      <c r="D8">
        <f>_xll.BDP("IU80YSRP Index", "LAST_PRICE")</f>
        <v>0</v>
      </c>
      <c r="E8">
        <f>_xll.BDP("IU80LWBJ Index", "LAST_PRICE")</f>
        <v>4334</v>
      </c>
      <c r="F8">
        <f>_xll.BDP("IU80LWBJ Index", "RT_PX_CHG_NET_1D")</f>
        <v>29</v>
      </c>
      <c r="G8">
        <f>_xll.BDP("IU80WVTK Index", "LAST_PRICE")</f>
        <v>6.58</v>
      </c>
      <c r="H8">
        <f>_xll.BDP("IU80GKLQ Index", "LAST_PRICE")</f>
        <v>4334</v>
      </c>
      <c r="I8">
        <f>_xll.BDP("IU80GKLQ Index", "RT_PX_CHG_NET_1D")</f>
        <v>29</v>
      </c>
      <c r="J8">
        <f>_xll.BDP("IU80QXFY Index", "LAST_PRICE")</f>
        <v>6.58</v>
      </c>
    </row>
    <row r="9" spans="1:10" x14ac:dyDescent="0.25">
      <c r="A9" t="s">
        <v>6</v>
      </c>
      <c r="B9">
        <f>_xll.BDP("IU80DHGJ Index", "LAST_PRICE")</f>
        <v>0</v>
      </c>
      <c r="C9" t="str">
        <f>_xll.BDP("IU80DHGJ Index", "RT_PX_CHG_NET_1D")</f>
        <v>#N/A N/A</v>
      </c>
      <c r="E9">
        <f>_xll.BDP("IU80AVAK Index", "LAST_PRICE")</f>
        <v>19475.189999999999</v>
      </c>
      <c r="F9">
        <f>_xll.BDP("IU80AVAK Index", "RT_PX_CHG_NET_1D")</f>
        <v>-14.75</v>
      </c>
      <c r="H9">
        <f>_xll.BDP("IU80VSQW Index", "LAST_PRICE")</f>
        <v>19475.189999999999</v>
      </c>
      <c r="I9">
        <f>_xll.BDP("IU80VSQW Index", "RT_PX_CHG_NET_1D")</f>
        <v>-14.75</v>
      </c>
    </row>
    <row r="10" spans="1:10" x14ac:dyDescent="0.25">
      <c r="A10" t="s">
        <v>8</v>
      </c>
    </row>
    <row r="11" spans="1:10" x14ac:dyDescent="0.25">
      <c r="A11" t="s">
        <v>4</v>
      </c>
      <c r="B11">
        <f>_xll.BDP("IU80HKGO Index", "LAST_PRICE")</f>
        <v>0</v>
      </c>
      <c r="C11" t="str">
        <f>_xll.BDP("IU80HKGO Index", "RT_PX_CHG_NET_1D")</f>
        <v>#N/A N/A</v>
      </c>
      <c r="D11">
        <f>_xll.BDP("IU80ALBA Index", "LAST_PRICE")</f>
        <v>0</v>
      </c>
      <c r="E11">
        <f>_xll.BDP("IU80TITP Index", "LAST_PRICE")</f>
        <v>699</v>
      </c>
      <c r="F11">
        <f>_xll.BDP("IU80TITP Index", "RT_PX_CHG_NET_1D")</f>
        <v>0</v>
      </c>
      <c r="G11">
        <f>_xll.BDP("IU80SVVX Index", "LAST_PRICE")</f>
        <v>1.07</v>
      </c>
      <c r="H11">
        <f>_xll.BDP("IU80AEGX Index", "LAST_PRICE")</f>
        <v>699</v>
      </c>
      <c r="I11">
        <f>_xll.BDP("IU80AEGX Index", "RT_PX_CHG_NET_1D")</f>
        <v>0</v>
      </c>
      <c r="J11">
        <f>_xll.BDP("IU80NFPU Index", "LAST_PRICE")</f>
        <v>1.07</v>
      </c>
    </row>
    <row r="12" spans="1:10" x14ac:dyDescent="0.25">
      <c r="A12" t="s">
        <v>5</v>
      </c>
      <c r="B12">
        <f>_xll.BDP("IU80TIFI Index", "LAST_PRICE")</f>
        <v>0</v>
      </c>
      <c r="C12" t="str">
        <f>_xll.BDP("IU80TIFI Index", "RT_PX_CHG_NET_1D")</f>
        <v>#N/A N/A</v>
      </c>
      <c r="D12">
        <f>_xll.BDP("IU80WQJC Index", "LAST_PRICE")</f>
        <v>0</v>
      </c>
      <c r="E12">
        <f>_xll.BDP("IU80QUMY Index", "LAST_PRICE")</f>
        <v>0</v>
      </c>
      <c r="F12" t="str">
        <f>_xll.BDP("IU80QUMY Index", "RT_PX_CHG_NET_1D")</f>
        <v>#N/A N/A</v>
      </c>
      <c r="G12">
        <f>_xll.BDP("IU80FYND Index", "LAST_PRICE")</f>
        <v>0</v>
      </c>
      <c r="H12">
        <f>_xll.BDP("IU80SQPV Index", "LAST_PRICE")</f>
        <v>0</v>
      </c>
      <c r="I12" t="str">
        <f>_xll.BDP("IU80SQPV Index", "RT_PX_CHG_NET_1D")</f>
        <v>#N/A N/A</v>
      </c>
      <c r="J12">
        <f>_xll.BDP("IU80XSKZ Index", "LAST_PRICE")</f>
        <v>0</v>
      </c>
    </row>
    <row r="13" spans="1:10" x14ac:dyDescent="0.25">
      <c r="A13" t="s">
        <v>6</v>
      </c>
      <c r="B13">
        <f>_xll.BDP("IU80EIVC Index", "LAST_PRICE")</f>
        <v>0</v>
      </c>
      <c r="C13" t="str">
        <f>_xll.BDP("IU80EIVC Index", "RT_PX_CHG_NET_1D")</f>
        <v>#N/A N/A</v>
      </c>
      <c r="E13">
        <f>_xll.BDP("IU80LCXM Index", "LAST_PRICE")</f>
        <v>699</v>
      </c>
      <c r="F13">
        <f>_xll.BDP("IU80LCXM Index", "RT_PX_CHG_NET_1D")</f>
        <v>0</v>
      </c>
      <c r="H13">
        <f>_xll.BDP("IU80LGHP Index", "LAST_PRICE")</f>
        <v>699</v>
      </c>
      <c r="I13">
        <f>_xll.BDP("IU80LGHP Index", "RT_PX_CHG_NET_1D")</f>
        <v>0</v>
      </c>
    </row>
    <row r="14" spans="1:10" x14ac:dyDescent="0.25">
      <c r="A14" t="s">
        <v>9</v>
      </c>
    </row>
    <row r="15" spans="1:10" x14ac:dyDescent="0.25">
      <c r="A15" t="s">
        <v>4</v>
      </c>
      <c r="B15">
        <f>_xll.BDP("IU80EXRU Index", "LAST_PRICE")</f>
        <v>23941.67</v>
      </c>
      <c r="C15">
        <f>_xll.BDP("IU80EXRU Index", "RT_PX_CHG_NET_1D")</f>
        <v>-348.36</v>
      </c>
      <c r="D15">
        <f>_xll.BDP("IU80TVHP Index", "LAST_PRICE")</f>
        <v>36.549999999999997</v>
      </c>
      <c r="E15">
        <f>_xll.BDP("IU80XYDT Index", "LAST_PRICE")</f>
        <v>3026.93</v>
      </c>
      <c r="F15">
        <f>_xll.BDP("IU80XYDT Index", "RT_PX_CHG_NET_1D")</f>
        <v>331.45</v>
      </c>
      <c r="G15">
        <f>_xll.BDP("IU80FSWP Index", "LAST_PRICE")</f>
        <v>4.62</v>
      </c>
      <c r="H15">
        <f>_xll.BDP("IU80VDQG Index", "LAST_PRICE")</f>
        <v>26968.6</v>
      </c>
      <c r="I15">
        <f>_xll.BDP("IU80VDQG Index", "RT_PX_CHG_NET_1D")</f>
        <v>-16.91</v>
      </c>
      <c r="J15">
        <f>_xll.BDP("IU80BTTU Index", "LAST_PRICE")</f>
        <v>41.17</v>
      </c>
    </row>
    <row r="16" spans="1:10" x14ac:dyDescent="0.25">
      <c r="A16" t="s">
        <v>5</v>
      </c>
      <c r="B16">
        <f>_xll.BDP("IU80YKQK Index", "LAST_PRICE")</f>
        <v>2197</v>
      </c>
      <c r="C16">
        <f>_xll.BDP("IU80YKQK Index", "RT_PX_CHG_NET_1D")</f>
        <v>132.15</v>
      </c>
      <c r="D16">
        <f>_xll.BDP("IU80NLSL Index", "LAST_PRICE")</f>
        <v>3.34</v>
      </c>
      <c r="E16">
        <f>_xll.BDP("IU80QDRX Index", "LAST_PRICE")</f>
        <v>1657.52</v>
      </c>
      <c r="F16">
        <f>_xll.BDP("IU80QDRX Index", "RT_PX_CHG_NET_1D")</f>
        <v>396.77</v>
      </c>
      <c r="G16">
        <f>_xll.BDP("IU80ZTIH Index", "LAST_PRICE")</f>
        <v>2.52</v>
      </c>
      <c r="H16">
        <f>_xll.BDP("IU80FHAX Index", "LAST_PRICE")</f>
        <v>3854.52</v>
      </c>
      <c r="I16">
        <f>_xll.BDP("IU80FHAX Index", "RT_PX_CHG_NET_1D")</f>
        <v>528.91999999999996</v>
      </c>
      <c r="J16">
        <f>_xll.BDP("IU80BNCI Index", "LAST_PRICE")</f>
        <v>5.86</v>
      </c>
    </row>
    <row r="17" spans="1:10" x14ac:dyDescent="0.25">
      <c r="A17" t="s">
        <v>6</v>
      </c>
      <c r="B17">
        <f>_xll.BDP("IU80AAJH Index", "LAST_PRICE")</f>
        <v>21744.67</v>
      </c>
      <c r="C17">
        <f>_xll.BDP("IU80AAJH Index", "RT_PX_CHG_NET_1D")</f>
        <v>-480.51</v>
      </c>
      <c r="E17">
        <f>_xll.BDP("IU80LPLG Index", "LAST_PRICE")</f>
        <v>1369.41</v>
      </c>
      <c r="F17">
        <f>_xll.BDP("IU80LPLG Index", "RT_PX_CHG_NET_1D")</f>
        <v>-65.319999999999993</v>
      </c>
      <c r="H17">
        <f>_xll.BDP("IU80WADG Index", "LAST_PRICE")</f>
        <v>23114.080000000002</v>
      </c>
      <c r="I17">
        <f>_xll.BDP("IU80WADG Index", "RT_PX_CHG_NET_1D")</f>
        <v>-545.83000000000004</v>
      </c>
    </row>
    <row r="18" spans="1:10" x14ac:dyDescent="0.25">
      <c r="A18" t="s">
        <v>10</v>
      </c>
    </row>
    <row r="19" spans="1:10" x14ac:dyDescent="0.25">
      <c r="A19" t="s">
        <v>4</v>
      </c>
      <c r="B19">
        <f>_xll.BDP("IU80QCTN Index", "LAST_PRICE")</f>
        <v>230</v>
      </c>
      <c r="C19">
        <f>_xll.BDP("IU80QCTN Index", "RT_PX_CHG_NET_1D")</f>
        <v>3</v>
      </c>
      <c r="D19">
        <f>_xll.BDP("IU80WZPM Index", "LAST_PRICE")</f>
        <v>0.35</v>
      </c>
      <c r="E19">
        <f>_xll.BDP("IU80HNWB Index", "LAST_PRICE")</f>
        <v>430</v>
      </c>
      <c r="F19">
        <f>_xll.BDP("IU80HNWB Index", "RT_PX_CHG_NET_1D")</f>
        <v>29</v>
      </c>
      <c r="G19">
        <f>_xll.BDP("IU80URJU Index", "LAST_PRICE")</f>
        <v>0.66</v>
      </c>
      <c r="H19">
        <f>_xll.BDP("IU80MXKT Index", "LAST_PRICE")</f>
        <v>660</v>
      </c>
      <c r="I19">
        <f>_xll.BDP("IU80MXKT Index", "RT_PX_CHG_NET_1D")</f>
        <v>32</v>
      </c>
      <c r="J19">
        <f>_xll.BDP("IU80ZLIW Index", "LAST_PRICE")</f>
        <v>1.01</v>
      </c>
    </row>
    <row r="20" spans="1:10" x14ac:dyDescent="0.25">
      <c r="A20" t="s">
        <v>5</v>
      </c>
      <c r="B20">
        <f>_xll.BDP("IU80SNEP Index", "LAST_PRICE")</f>
        <v>2175</v>
      </c>
      <c r="C20">
        <f>_xll.BDP("IU80SNEP Index", "RT_PX_CHG_NET_1D")</f>
        <v>-17</v>
      </c>
      <c r="D20">
        <f>_xll.BDP("IU80XAMA Index", "LAST_PRICE")</f>
        <v>3.3</v>
      </c>
      <c r="E20">
        <f>_xll.BDP("IU80QAUR Index", "LAST_PRICE")</f>
        <v>149</v>
      </c>
      <c r="F20">
        <f>_xll.BDP("IU80QAUR Index", "RT_PX_CHG_NET_1D")</f>
        <v>-24</v>
      </c>
      <c r="G20">
        <f>_xll.BDP("IU80CMNN Index", "LAST_PRICE")</f>
        <v>0.23</v>
      </c>
      <c r="H20">
        <f>_xll.BDP("IU80RKXO Index", "LAST_PRICE")</f>
        <v>2324</v>
      </c>
      <c r="I20">
        <f>_xll.BDP("IU80RKXO Index", "RT_PX_CHG_NET_1D")</f>
        <v>-41</v>
      </c>
    </row>
    <row r="21" spans="1:10" x14ac:dyDescent="0.25">
      <c r="A21" t="s">
        <v>6</v>
      </c>
      <c r="B21">
        <f>_xll.BDP("IU80OOXC Index", "LAST_PRICE")</f>
        <v>-1945</v>
      </c>
      <c r="C21">
        <f>_xll.BDP("IU80OOXC Index", "RT_PX_CHG_NET_1D")</f>
        <v>20</v>
      </c>
      <c r="E21">
        <f>_xll.BDP("IU80BWFD Index", "LAST_PRICE")</f>
        <v>281</v>
      </c>
      <c r="F21">
        <f>_xll.BDP("IU80BWFD Index", "RT_PX_CHG_NET_1D")</f>
        <v>53</v>
      </c>
      <c r="H21">
        <f>_xll.BDP("IU80MHIR Index", "LAST_PRICE")</f>
        <v>-1664</v>
      </c>
      <c r="I21">
        <f>_xll.BDP("IU80MHIR Index", "RT_PX_CHG_NET_1D")</f>
        <v>73</v>
      </c>
      <c r="J21">
        <f>_xll.BDP("IU80YOQM Index", "LAST_PRICE")</f>
        <v>3.53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DUBREIL Hugo</cp:lastModifiedBy>
  <dcterms:created xsi:type="dcterms:W3CDTF">2013-04-03T15:49:21Z</dcterms:created>
  <dcterms:modified xsi:type="dcterms:W3CDTF">2026-03-27T21:02:09Z</dcterms:modified>
</cp:coreProperties>
</file>