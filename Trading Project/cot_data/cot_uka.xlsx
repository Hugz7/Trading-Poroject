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D3B48AEB-A934-4A73-85F3-63BE5EB7E53F}" xr6:coauthVersionLast="47" xr6:coauthVersionMax="47" xr10:uidLastSave="{00000000-0000-0000-0000-000000000000}"/>
  <bookViews>
    <workbookView xWindow="4425" yWindow="288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2" l="1"/>
  <c r="E12" i="2"/>
  <c r="H21" i="2"/>
  <c r="B15" i="2"/>
  <c r="E16" i="2"/>
  <c r="C19" i="2"/>
  <c r="B19" i="2"/>
  <c r="I12" i="2"/>
  <c r="F4" i="2"/>
  <c r="C3" i="2"/>
  <c r="C7" i="2"/>
  <c r="E20" i="2"/>
  <c r="I17" i="2"/>
  <c r="F12" i="2"/>
  <c r="C11" i="2"/>
  <c r="F16" i="2"/>
  <c r="F8" i="2"/>
  <c r="F19" i="2"/>
  <c r="C15" i="2"/>
  <c r="G12" i="2"/>
  <c r="F20" i="2"/>
  <c r="D3" i="2"/>
  <c r="G4" i="2"/>
  <c r="D7" i="2"/>
  <c r="G8" i="2"/>
  <c r="D11" i="2"/>
  <c r="I8" i="2"/>
  <c r="F11" i="2"/>
  <c r="D15" i="2"/>
  <c r="I16" i="2"/>
  <c r="G16" i="2"/>
  <c r="G20" i="2"/>
  <c r="F15" i="2"/>
  <c r="D19" i="2"/>
  <c r="I20" i="2"/>
  <c r="D4" i="2"/>
  <c r="E3" i="2"/>
  <c r="E4" i="2"/>
  <c r="H8" i="2"/>
  <c r="E7" i="2"/>
  <c r="E11" i="2"/>
  <c r="I4" i="2"/>
  <c r="H16" i="2"/>
  <c r="H12" i="2"/>
  <c r="F7" i="2"/>
  <c r="F3" i="2"/>
  <c r="E19" i="2"/>
  <c r="E15" i="2"/>
  <c r="J4" i="2"/>
  <c r="G11" i="2"/>
  <c r="H20" i="2"/>
  <c r="J12" i="2"/>
  <c r="G3" i="2"/>
  <c r="G7" i="2"/>
  <c r="I13" i="2"/>
  <c r="J8" i="2"/>
  <c r="J16" i="2"/>
  <c r="J20" i="2"/>
  <c r="G15" i="2"/>
  <c r="G19" i="2"/>
  <c r="C13" i="2"/>
  <c r="B17" i="2"/>
  <c r="B11" i="2"/>
  <c r="I11" i="2"/>
  <c r="C20" i="2"/>
  <c r="B3" i="2"/>
  <c r="B5" i="2"/>
  <c r="C9" i="2"/>
  <c r="C5" i="2"/>
  <c r="H19" i="2"/>
  <c r="C17" i="2"/>
  <c r="I15" i="2"/>
  <c r="D16" i="2"/>
  <c r="I3" i="2"/>
  <c r="I19" i="2"/>
  <c r="C21" i="2"/>
  <c r="B21" i="2"/>
  <c r="H15" i="2"/>
  <c r="J7" i="2"/>
  <c r="H17" i="2"/>
  <c r="J3" i="2"/>
  <c r="I7" i="2"/>
  <c r="E5" i="2"/>
  <c r="J11" i="2"/>
  <c r="E13" i="2"/>
  <c r="I9" i="2"/>
  <c r="E9" i="2"/>
  <c r="J15" i="2"/>
  <c r="E17" i="2"/>
  <c r="J19" i="2"/>
  <c r="E21" i="2"/>
  <c r="H4" i="2"/>
  <c r="B7" i="2"/>
  <c r="B8" i="2"/>
  <c r="H7" i="2"/>
  <c r="B12" i="2"/>
  <c r="F9" i="2"/>
  <c r="F17" i="2"/>
  <c r="B16" i="2"/>
  <c r="F21" i="2"/>
  <c r="F13" i="2"/>
  <c r="B20" i="2"/>
  <c r="I5" i="2"/>
  <c r="H3" i="2"/>
  <c r="D8" i="2"/>
  <c r="B9" i="2"/>
  <c r="B13" i="2"/>
  <c r="H11" i="2"/>
  <c r="C8" i="2"/>
  <c r="F5" i="2"/>
  <c r="B4" i="2"/>
  <c r="D12" i="2"/>
  <c r="C4" i="2"/>
  <c r="H5" i="2"/>
  <c r="H9" i="2"/>
  <c r="C12" i="2"/>
  <c r="C16" i="2"/>
  <c r="H13" i="2"/>
  <c r="D20" i="2"/>
  <c r="I21" i="2"/>
</calcChain>
</file>

<file path=xl/sharedStrings.xml><?xml version="1.0" encoding="utf-8"?>
<sst xmlns="http://schemas.openxmlformats.org/spreadsheetml/2006/main" count="29" uniqueCount="11">
  <si>
    <t>Position</t>
  </si>
  <si>
    <t>Chg</t>
  </si>
  <si>
    <t>% OI</t>
  </si>
  <si>
    <t>Investment Firms or Credit Institutions</t>
  </si>
  <si>
    <t>Long</t>
  </si>
  <si>
    <t>Short</t>
  </si>
  <si>
    <t>Net</t>
  </si>
  <si>
    <t>Investment Funds</t>
  </si>
  <si>
    <t>Other Financial Institutions</t>
  </si>
  <si>
    <t>Commercial Undertakings</t>
  </si>
  <si>
    <t>Directive Compliance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</si>
</sst>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0</v>
        <stp/>
        <stp>BDP|6276527171075873966|22</stp>
        <stp>IU34NIMQ Index</stp>
        <stp>LAST_PRICE</stp>
        <tr r="D3" s="2"/>
      </tp>
      <tp>
        <v>74110</v>
        <stp/>
        <stp>BDP|8180620994454874461|22</stp>
        <stp>IU34MXKT Index</stp>
        <stp>LAST_PRICE</stp>
        <tr r="H19" s="2"/>
      </tp>
      <tp>
        <v>490248.66</v>
        <stp/>
        <stp>BDP|7358645937979592130|22</stp>
        <stp>IU34YJER Index</stp>
        <stp>LAST_PRICE</stp>
        <tr r="H4" s="2"/>
      </tp>
      <tp>
        <v>48674.11</v>
        <stp/>
        <stp>BDP|1621106955838483656|22</stp>
        <stp>IU34LWBJ Index</stp>
        <stp>LAST_PRICE</stp>
        <tr r="E8" s="2"/>
      </tp>
      <tp>
        <v>74.86</v>
        <stp/>
        <stp>BDP|6914669876340294927|22</stp>
        <stp>IU34PLIQ Index</stp>
        <stp>LAST_PRICE</stp>
        <tr r="J4" s="2"/>
      </tp>
      <tp>
        <v>0</v>
        <stp/>
        <stp>BDP|3647593849840911573|22</stp>
        <stp>IU34JIHS Index</stp>
        <stp>LAST_PRICE</stp>
        <tr r="D4" s="2"/>
      </tp>
      <tp>
        <v>11.31</v>
        <stp/>
        <stp>BDP|5432426281195933665|22</stp>
        <stp>IU34ZLIW Index</stp>
        <stp>LAST_PRICE</stp>
        <tr r="J19" s="2"/>
      </tp>
      <tp>
        <v>836</v>
        <stp/>
        <stp>BDP|9250742858433501411|22</stp>
        <stp>IU34QUMY Index</stp>
        <stp>LAST_PRICE</stp>
        <tr r="E12" s="2"/>
      </tp>
      <tp>
        <v>173903</v>
        <stp/>
        <stp>BDP|5600024703467524624|22</stp>
        <stp>IU34WADG Index</stp>
        <stp>LAST_PRICE</stp>
        <tr r="H17" s="2"/>
      </tp>
      <tp>
        <v>225644</v>
        <stp/>
        <stp>BDP|6968712314928264836|22</stp>
        <stp>IU34LTIS Index</stp>
        <stp>LAST_PRICE</stp>
        <tr r="H3" s="2"/>
      </tp>
      <tp>
        <v>8.31</v>
        <stp/>
        <stp>BDP|9891248816353119174|22</stp>
        <stp>IU34ZTIH Index</stp>
        <stp>LAST_PRICE</stp>
        <tr r="G16" s="2"/>
      </tp>
      <tp>
        <v>0</v>
        <stp/>
        <stp>BDP|9309692514092502890|22</stp>
        <stp>IU34DHGJ Index</stp>
        <stp>LAST_PRICE</stp>
        <tr r="B9" s="2"/>
      </tp>
      <tp>
        <v>490248.66</v>
        <stp/>
        <stp>BDP|2498182547135510385|22</stp>
        <stp>IU34PACT Index</stp>
        <stp>LAST_PRICE</stp>
        <tr r="E4" s="2"/>
      </tp>
      <tp>
        <v>0</v>
        <stp/>
        <stp>BDP|6493837922236153893|22</stp>
        <stp>IU34HKGO Index</stp>
        <stp>LAST_PRICE</stp>
        <tr r="B11" s="2"/>
      </tp>
      <tp>
        <v>34.450000000000003</v>
        <stp/>
        <stp>BDP|4747928232108397177|22</stp>
        <stp>IU34JCIV Index</stp>
        <stp>LAST_PRICE</stp>
        <tr r="J3" s="2"/>
      </tp>
      <tp>
        <v>0</v>
        <stp/>
        <stp>BDP|8200455513957078095|22</stp>
        <stp>IU34ALBA Index</stp>
        <stp>LAST_PRICE</stp>
        <tr r="D11" s="2"/>
      </tp>
      <tp>
        <v>96676.19</v>
        <stp/>
        <stp>BDP|7728470881116982564|22</stp>
        <stp>IU34FHAX Index</stp>
        <stp>LAST_PRICE</stp>
        <tr r="H16" s="2"/>
      </tp>
      <tp>
        <v>81265.179999999993</v>
        <stp/>
        <stp>BDP|3966096677000868172|22</stp>
        <stp>IU34XYDT Index</stp>
        <stp>LAST_PRICE</stp>
        <tr r="E15" s="2"/>
      </tp>
      <tp>
        <v>28.91</v>
        <stp/>
        <stp>BDP|6583719302615438971|22</stp>
        <stp>IU34TVHP Index</stp>
        <stp>LAST_PRICE</stp>
        <tr r="D15" s="2"/>
      </tp>
      <tp>
        <v>48674.11</v>
        <stp/>
        <stp>BDP|2482785807410277185|22</stp>
        <stp>IU34GKLQ Index</stp>
        <stp>LAST_PRICE</stp>
        <tr r="H8" s="2"/>
      </tp>
      <tp>
        <v>55617.91</v>
        <stp/>
        <stp>BDP|3570608181174361933|22</stp>
        <stp>IU34MHIR Index</stp>
        <stp>LAST_PRICE</stp>
        <tr r="H21" s="2"/>
      </tp>
      <tp>
        <v>31035.21</v>
        <stp/>
        <stp>BDP|9376781926932076750|22</stp>
        <stp>IU34OOXC Index</stp>
        <stp>LAST_PRICE</stp>
        <tr r="B21" s="2"/>
      </tp>
      <tp>
        <v>2.82</v>
        <stp/>
        <stp>BDP|5614049394573028566|22</stp>
        <stp>IU34YOQM Index</stp>
        <stp>LAST_PRICE</stp>
        <tr r="J20" s="2"/>
      </tp>
      <tp>
        <v>12.41</v>
        <stp/>
        <stp>BDP|8976126960010516280|22</stp>
        <stp>IU34FSWP Index</stp>
        <stp>LAST_PRICE</stp>
        <tr r="G15" s="2"/>
      </tp>
      <tp>
        <v>33167.769999999997</v>
        <stp/>
        <stp>BDP|3783661005709746329|22</stp>
        <stp>IU34HNWB Index</stp>
        <stp>LAST_PRICE</stp>
        <tr r="E19" s="2"/>
      </tp>
      <tp>
        <v>54414.71</v>
        <stp/>
        <stp>BDP|2769508100549189829|22</stp>
        <stp>IU34QDRX Index</stp>
        <stp>LAST_PRICE</stp>
        <tr r="E16" s="2"/>
      </tp>
      <tp>
        <v>81440.86</v>
        <stp/>
        <stp>BDP|9047204078223208993|22</stp>
        <stp>IU34YDTT Index</stp>
        <stp>LAST_PRICE</stp>
        <tr r="E7" s="2"/>
      </tp>
      <tp>
        <v>3152</v>
        <stp/>
        <stp>BDP|4263107897287792813|22</stp>
        <stp>IU34TITP Index</stp>
        <stp>LAST_PRICE</stp>
        <tr r="E11" s="2"/>
      </tp>
      <tp>
        <v>189314</v>
        <stp/>
        <stp>BDP|4164938220135729236|22</stp>
        <stp>IU34EXRU Index</stp>
        <stp>LAST_PRICE</stp>
        <tr r="B15" s="2"/>
      </tp>
      <tp>
        <v>270579.19</v>
        <stp/>
        <stp>BDP|1627950351653634807|22</stp>
        <stp>IU34VDQG Index</stp>
        <stp>LAST_PRICE</stp>
        <tr r="H15" s="2"/>
      </tp>
      <tp>
        <v>41.32</v>
        <stp/>
        <stp>BDP|5995950346627342170|22</stp>
        <stp>IU34BTTU Index</stp>
        <stp>LAST_PRICE</stp>
        <tr r="J15" s="2"/>
      </tp>
      <tp>
        <v>6.45</v>
        <stp/>
        <stp>BDP|2519345671913239997|22</stp>
        <stp>IU34NLSL Index</stp>
        <stp>LAST_PRICE</stp>
        <tr r="D16" s="2"/>
      </tp>
      <tp>
        <v>42261.47</v>
        <stp/>
        <stp>BDP|6527990813722583335|22</stp>
        <stp>IU34YKQK Index</stp>
        <stp>LAST_PRICE</stp>
        <tr r="B16" s="2"/>
      </tp>
      <tp>
        <v>0</v>
        <stp/>
        <stp>BDP|5174625885575043798|22</stp>
        <stp>IU34EIVC Index</stp>
        <stp>LAST_PRICE</stp>
        <tr r="B13" s="2"/>
      </tp>
      <tp>
        <v>-264604.69</v>
        <stp/>
        <stp>BDP|3722669772776745840|22</stp>
        <stp>IU34OHYS Index</stp>
        <stp>LAST_PRICE</stp>
        <tr r="H5" s="2"/>
      </tp>
      <tp>
        <v>7.43</v>
        <stp/>
        <stp>BDP|8355413269195793578|22</stp>
        <stp>IU34WVTK Index</stp>
        <stp>LAST_PRICE</stp>
        <tr r="G8" s="2"/>
      </tp>
      <tp>
        <v>18492.07</v>
        <stp/>
        <stp>BDP|6224244642330091401|22</stp>
        <stp>IU34RKXO Index</stp>
        <stp>LAST_PRICE</stp>
        <tr r="H20" s="2"/>
      </tp>
      <tp>
        <v>0</v>
        <stp/>
        <stp>BDP|13947031689008399932|22</stp>
        <stp>IU34ELRX Index</stp>
        <stp>LAST_PRICE</stp>
        <tr r="D7" s="2"/>
      </tp>
      <tp>
        <v>836</v>
        <stp/>
        <stp>BDP|16136968464883055937|22</stp>
        <stp>IU34SQPV Index</stp>
        <stp>LAST_PRICE</stp>
        <tr r="H12" s="2"/>
      </tp>
      <tp>
        <v>0.48</v>
        <stp/>
        <stp>BDP|12411812276594733029|22</stp>
        <stp>IU34SVVX Index</stp>
        <stp>LAST_PRICE</stp>
        <tr r="G11" s="2"/>
      </tp>
      <tp>
        <v>225643.98</v>
        <stp/>
        <stp>BDP|10066718959327405591|22</stp>
        <stp>IU34SOVM Index</stp>
        <stp>LAST_PRICE</stp>
        <tr r="E3" s="2"/>
      </tp>
      <tp>
        <v>0</v>
        <stp/>
        <stp>BDP|15225125568364274881|22</stp>
        <stp>IU34XWQO Index</stp>
        <stp>LAST_PRICE</stp>
        <tr r="B4" s="2"/>
      </tp>
      <tp>
        <v>0</v>
        <stp/>
        <stp>BDP|4395626609220315997|22</stp>
        <stp>IU34TIFI Index</stp>
        <stp>RT_PX_CHG_NET_1D</stp>
        <tr r="C12" s="2"/>
      </tp>
      <tp>
        <v>207</v>
        <stp/>
        <stp>BDP|4526530755668345411|22</stp>
        <stp>IU34SQPV Index</stp>
        <stp>RT_PX_CHG_NET_1D</stp>
        <tr r="I12" s="2"/>
      </tp>
      <tp>
        <v>2316</v>
        <stp/>
        <stp>BDP|11460184437919448527|22</stp>
        <stp>IU34LCXM Index</stp>
        <stp>LAST_PRICE</stp>
        <tr r="E13" s="2"/>
      </tp>
      <tp>
        <v>-9349.65</v>
        <stp/>
        <stp>BDP|9359333576153317412|22</stp>
        <stp>IU34XYDT Index</stp>
        <stp>RT_PX_CHG_NET_1D</stp>
        <tr r="F15" s="2"/>
      </tp>
      <tp>
        <v>-6238.4</v>
        <stp/>
        <stp>BDP|7107200232673272287|22</stp>
        <stp>IU34VSQW Index</stp>
        <stp>RT_PX_CHG_NET_1D</stp>
        <tr r="I9" s="2"/>
      </tp>
      <tp>
        <v>-264604.69</v>
        <stp/>
        <stp>BDP|15566761280951532156|22</stp>
        <stp>IU34FCWY Index</stp>
        <stp>LAST_PRICE</stp>
        <tr r="E5" s="2"/>
      </tp>
      <tp>
        <v>81440.88</v>
        <stp/>
        <stp>BDP|15288232679463684709|22</stp>
        <stp>IU34MHZA Index</stp>
        <stp>LAST_PRICE</stp>
        <tr r="H7" s="2"/>
      </tp>
      <tp>
        <v>-39352.720000000001</v>
        <stp/>
        <stp>BDP|4354125244207102009|22</stp>
        <stp>IU34PACT Index</stp>
        <stp>RT_PX_CHG_NET_1D</stp>
        <tr r="F4" s="2"/>
      </tp>
      <tp>
        <v>0.48</v>
        <stp/>
        <stp>BDP|11687848035134998887|22</stp>
        <stp>IU34NFPU Index</stp>
        <stp>LAST_PRICE</stp>
        <tr r="J11" s="2"/>
      </tp>
      <tp>
        <v>6.25</v>
        <stp/>
        <stp>BDP|16958960429228798975|22</stp>
        <stp>IU34WZPM Index</stp>
        <stp>LAST_PRICE</stp>
        <tr r="D19" s="2"/>
      </tp>
      <tp>
        <v>0</v>
        <stp/>
        <stp>BDP|11074205088693742327|22</stp>
        <stp>IU34DXTZ Index</stp>
        <stp>LAST_PRICE</stp>
        <tr r="B3" s="2"/>
      </tp>
      <tp>
        <v>8585.07</v>
        <stp/>
        <stp>BDP|10095470381612816125|22</stp>
        <stp>IU34QAUR Index</stp>
        <stp>LAST_PRICE</stp>
        <tr r="E20" s="2"/>
      </tp>
      <tp>
        <v>0</v>
        <stp/>
        <stp>BDP|3206388789277245841|22</stp>
        <stp>IU34XWQO Index</stp>
        <stp>RT_PX_CHG_NET_1D</stp>
        <tr r="C4" s="2"/>
      </tp>
      <tp>
        <v>0</v>
        <stp/>
        <stp>BDP|17242303443118823949|22</stp>
        <stp>IU34FFWD Index</stp>
        <stp>LAST_PRICE</stp>
        <tr r="B7" s="2"/>
      </tp>
      <tp>
        <v>-44973.69</v>
        <stp/>
        <stp>BDP|4990947211880475234|22</stp>
        <stp>IU34VDQG Index</stp>
        <stp>RT_PX_CHG_NET_1D</stp>
        <tr r="I15" s="2"/>
      </tp>
      <tp>
        <v>12.44</v>
        <stp/>
        <stp>BDP|13701343420693448502|22</stp>
        <stp>IU34LUZX Index</stp>
        <stp>LAST_PRICE</stp>
        <tr r="G7" s="2"/>
      </tp>
      <tp>
        <v>0</v>
        <stp/>
        <stp>BDP|15273170297277872211|22</stp>
        <stp>IU34SCVE Index</stp>
        <stp>LAST_PRICE</stp>
        <tr r="B5" s="2"/>
      </tp>
      <tp>
        <v>40942.21</v>
        <stp/>
        <stp>BDP|10761382757072617979|22</stp>
        <stp>IU34QCTN Index</stp>
        <stp>LAST_PRICE</stp>
        <tr r="B19" s="2"/>
      </tp>
      <tp>
        <v>-219.82</v>
        <stp/>
        <stp>BDP|2769600573552616505|22</stp>
        <stp>IU34QCTN Index</stp>
        <stp>RT_PX_CHG_NET_1D</stp>
        <tr r="C19" s="2"/>
      </tp>
      <tp>
        <v>0</v>
        <stp/>
        <stp>BDP|18432421276312626286|22</stp>
        <stp>IU34YSRP Index</stp>
        <stp>LAST_PRICE</stp>
        <tr r="D8" s="2"/>
      </tp>
      <tp>
        <v>-36184.28</v>
        <stp/>
        <stp>BDP|7919591678810415340|22</stp>
        <stp>IU34WADG Index</stp>
        <stp>RT_PX_CHG_NET_1D</stp>
        <tr r="I17" s="2"/>
      </tp>
      <tp>
        <v>0</v>
        <stp/>
        <stp>BDP|15277558336105464787|22</stp>
        <stp>IU34TTSU Index</stp>
        <stp>LAST_PRICE</stp>
        <tr r="B8" s="2"/>
      </tp>
      <tp>
        <v>32766.75</v>
        <stp/>
        <stp>BDP|17758132728852211811|22</stp>
        <stp>IU34VSQW Index</stp>
        <stp>LAST_PRICE</stp>
        <tr r="H9" s="2"/>
      </tp>
      <tp>
        <v>147052.53</v>
        <stp/>
        <stp>BDP|10393432310113838932|22</stp>
        <stp>IU34AAJH Index</stp>
        <stp>LAST_PRICE</stp>
        <tr r="B17" s="2"/>
      </tp>
      <tp>
        <v>3492.05</v>
        <stp/>
        <stp>BDP|9729956744322152209|22</stp>
        <stp>IU34LTIS Index</stp>
        <stp>RT_PX_CHG_NET_1D</stp>
        <tr r="I3" s="2"/>
      </tp>
      <tp>
        <v>0</v>
        <stp/>
        <stp>BDP|7915597978728479128|22</stp>
        <stp>IU34EIVC Index</stp>
        <stp>RT_PX_CHG_NET_1D</stp>
        <tr r="C13" s="2"/>
      </tp>
      <tp>
        <v>32766.75</v>
        <stp/>
        <stp>BDP|16897396793694702279|22</stp>
        <stp>IU34AVAK Index</stp>
        <stp>LAST_PRICE</stp>
        <tr r="E9" s="2"/>
      </tp>
      <tp>
        <v>838.26</v>
        <stp/>
        <stp>BDP|3252747196299006698|22</stp>
        <stp>IU34LWBJ Index</stp>
        <stp>RT_PX_CHG_NET_1D</stp>
        <tr r="F8" s="2"/>
      </tp>
      <tp>
        <v>0.13</v>
        <stp/>
        <stp>BDP|16380977601615821043|22</stp>
        <stp>IU34XSKZ Index</stp>
        <stp>LAST_PRICE</stp>
        <tr r="J12" s="2"/>
      </tp>
      <tp>
        <v>26850.47</v>
        <stp/>
        <stp>BDP|11166081101051653302|22</stp>
        <stp>IU34LPLG Index</stp>
        <stp>LAST_PRICE</stp>
        <tr r="E17" s="2"/>
      </tp>
      <tp>
        <v>-6238.4</v>
        <stp/>
        <stp>BDP|4536272724610460223|22</stp>
        <stp>IU34AVAK Index</stp>
        <stp>RT_PX_CHG_NET_1D</stp>
        <tr r="F9" s="2"/>
      </tp>
      <tp>
        <v>2137.75</v>
        <stp/>
        <stp>BDP|2826731171736747582|22</stp>
        <stp>IU34BWFD Index</stp>
        <stp>RT_PX_CHG_NET_1D</stp>
        <tr r="F21" s="2"/>
      </tp>
      <tp>
        <v>0</v>
        <stp/>
        <stp>BDP|1701656357863613932|22</stp>
        <stp>IU34FFWD Index</stp>
        <stp>RT_PX_CHG_NET_1D</stp>
        <tr r="C7" s="2"/>
      </tp>
      <tp>
        <v>1.31</v>
        <stp/>
        <stp>BDP|17234659573598626194|22</stp>
        <stp>IU34CMNN Index</stp>
        <stp>LAST_PRICE</stp>
        <tr r="G20" s="2"/>
      </tp>
      <tp>
        <v>5.0599999999999996</v>
        <stp/>
        <stp>BDP|10886848615510426909|22</stp>
        <stp>IU34URJU Index</stp>
        <stp>LAST_PRICE</stp>
        <tr r="G19" s="2"/>
      </tp>
      <tp>
        <v>-391.19</v>
        <stp/>
        <stp>BDP|2679129087864487840|22</stp>
        <stp>IU34LPLG Index</stp>
        <stp>RT_PX_CHG_NET_1D</stp>
        <tr r="F17" s="2"/>
      </tp>
      <tp>
        <v>0</v>
        <stp/>
        <stp>BDP|10992917622570274484|22</stp>
        <stp>IU34TIFI Index</stp>
        <stp>LAST_PRICE</stp>
        <tr r="B12" s="2"/>
      </tp>
      <tp>
        <v>14.76</v>
        <stp/>
        <stp>BDP|11434631071484548063|22</stp>
        <stp>IU34BNCI Index</stp>
        <stp>LAST_PRICE</stp>
        <tr r="J16" s="2"/>
      </tp>
      <tp>
        <v>34.450000000000003</v>
        <stp/>
        <stp>BDP|10274002243142931816|22</stp>
        <stp>IU34TKAC Index</stp>
        <stp>LAST_PRICE</stp>
        <tr r="G3" s="2"/>
      </tp>
      <tp>
        <v>12.44</v>
        <stp/>
        <stp>BDP|11983770166322786961|22</stp>
        <stp>IU34APAC Index</stp>
        <stp>LAST_PRICE</stp>
        <tr r="J7" s="2"/>
      </tp>
      <tp>
        <v>-254</v>
        <stp/>
        <stp>BDP|1780669203945781461|22</stp>
        <stp>IU34LGHP Index</stp>
        <stp>RT_PX_CHG_NET_1D</stp>
        <tr r="I13" s="2"/>
      </tp>
      <tp>
        <v>1.51</v>
        <stp/>
        <stp>BDP|13755381633133359291|22</stp>
        <stp>IU34XAMA Index</stp>
        <stp>LAST_PRICE</stp>
        <tr r="D20" s="2"/>
      </tp>
      <tp>
        <v>838.26</v>
        <stp/>
        <stp>BDP|4712483078254218321|22</stp>
        <stp>IU34GKLQ Index</stp>
        <stp>RT_PX_CHG_NET_1D</stp>
        <tr r="I8" s="2"/>
      </tp>
      <tp>
        <v>7.43</v>
        <stp/>
        <stp>BDP|13539995771839625374|22</stp>
        <stp>IU34QXFY Index</stp>
        <stp>LAST_PRICE</stp>
        <tr r="J8" s="2"/>
      </tp>
      <tp>
        <v>74.86</v>
        <stp/>
        <stp>BDP|16210419653330084097|22</stp>
        <stp>IU34BDCL Index</stp>
        <stp>LAST_PRICE</stp>
        <tr r="G4" s="2"/>
      </tp>
      <tp>
        <v>2316</v>
        <stp/>
        <stp>BDP|13615911912566213927|22</stp>
        <stp>IU34LGHP Index</stp>
        <stp>LAST_PRICE</stp>
        <tr r="H13" s="2"/>
      </tp>
      <tp>
        <v>9907</v>
        <stp/>
        <stp>BDP|14296273038465501804|22</stp>
        <stp>IU34SNEP Index</stp>
        <stp>LAST_PRICE</stp>
        <tr r="B20" s="2"/>
      </tp>
      <tp>
        <v>0</v>
        <stp/>
        <stp>BDP|11248285919039048142|22</stp>
        <stp>IU34WQJC Index</stp>
        <stp>LAST_PRICE</stp>
        <tr r="D12" s="2"/>
      </tp>
      <tp>
        <v>42844.75</v>
        <stp/>
        <stp>BDP|8453699401402454209|22</stp>
        <stp>IU34OHYS Index</stp>
        <stp>RT_PX_CHG_NET_1D</stp>
        <tr r="I5" s="2"/>
      </tp>
      <tp>
        <v>24582.7</v>
        <stp/>
        <stp>BDP|10801435237513709834|22</stp>
        <stp>IU34BWFD Index</stp>
        <stp>LAST_PRICE</stp>
        <tr r="E21" s="2"/>
      </tp>
      <tp>
        <v>0.13</v>
        <stp/>
        <stp>BDP|11688730363389705813|22</stp>
        <stp>IU34FYND Index</stp>
        <stp>LAST_PRICE</stp>
        <tr r="G12" s="2"/>
      </tp>
      <tp>
        <v>3492.03</v>
        <stp/>
        <stp>BDP|16988497886019005500|22</stp>
        <stp>IU34SOVM Index</stp>
        <stp>RT_PX_CHG_NET_1D</stp>
        <tr r="F3" s="2"/>
      </tp>
      <tp>
        <v>-5400.14</v>
        <stp/>
        <stp>BDP|17196949206218399348|22</stp>
        <stp>IU34YDTT Index</stp>
        <stp>RT_PX_CHG_NET_1D</stp>
        <tr r="F7" s="2"/>
      </tp>
      <tp>
        <v>169.05</v>
        <stp/>
        <stp>BDP|10333021101596510961|22</stp>
        <stp>IU34YKQK Index</stp>
        <stp>RT_PX_CHG_NET_1D</stp>
        <tr r="C16" s="2"/>
      </tp>
      <tp>
        <v>2111</v>
        <stp/>
        <stp>BDP|12677436259948170618|22</stp>
        <stp>IU34SNEP Index</stp>
        <stp>RT_PX_CHG_NET_1D</stp>
        <tr r="C20" s="2"/>
      </tp>
      <tp>
        <v>-8958.4599999999991</v>
        <stp/>
        <stp>BDP|13431116373522802563|22</stp>
        <stp>IU34QDRX Index</stp>
        <stp>RT_PX_CHG_NET_1D</stp>
        <tr r="F16" s="2"/>
      </tp>
      <tp>
        <v>-30.9</v>
        <stp/>
        <stp>BDP|11222275432247840577|22</stp>
        <stp>IU34QAUR Index</stp>
        <stp>RT_PX_CHG_NET_1D</stp>
        <tr r="F20" s="2"/>
      </tp>
      <tp>
        <v>0</v>
        <stp/>
        <stp>BDP|15932881043950773510|22</stp>
        <stp>IU34TTSU Index</stp>
        <stp>RT_PX_CHG_NET_1D</stp>
        <tr r="C8" s="2"/>
      </tp>
      <tp>
        <v>2080.1</v>
        <stp/>
        <stp>BDP|13811454329813530560|22</stp>
        <stp>IU34RKXO Index</stp>
        <stp>RT_PX_CHG_NET_1D</stp>
        <tr r="I20" s="2"/>
      </tp>
      <tp>
        <v>2106.85</v>
        <stp/>
        <stp>BDP|834619176118914301|22</stp>
        <stp>IU34HNWB Index</stp>
        <stp>RT_PX_CHG_NET_1D</stp>
        <tr r="F19" s="2"/>
      </tp>
      <tp>
        <v>0</v>
        <stp/>
        <stp>BDP|531506034744318432|22</stp>
        <stp>IU34DXTZ Index</stp>
        <stp>RT_PX_CHG_NET_1D</stp>
        <tr r="C3" s="2"/>
      </tp>
      <tp>
        <v>0</v>
        <stp/>
        <stp>BDP|13699801565509787873|22</stp>
        <stp>IU34SCVE Index</stp>
        <stp>RT_PX_CHG_NET_1D</stp>
        <tr r="C5" s="2"/>
      </tp>
      <tp>
        <v>1887.05</v>
        <stp/>
        <stp>BDP|14575504036471648214|22</stp>
        <stp>IU34MXKT Index</stp>
        <stp>RT_PX_CHG_NET_1D</stp>
        <tr r="I19" s="2"/>
      </tp>
      <tp>
        <v>-2330.8200000000002</v>
        <stp/>
        <stp>BDP|11721231362487201102|22</stp>
        <stp>IU34OOXC Index</stp>
        <stp>RT_PX_CHG_NET_1D</stp>
        <tr r="C21" s="2"/>
      </tp>
      <tp>
        <v>-193.07</v>
        <stp/>
        <stp>BDP|16079937180343574144|22</stp>
        <stp>IU34MHIR Index</stp>
        <stp>RT_PX_CHG_NET_1D</stp>
        <tr r="I21" s="2"/>
      </tp>
      <tp>
        <v>-254</v>
        <stp/>
        <stp>BDP|14195410239067328461|22</stp>
        <stp>IU34LCXM Index</stp>
        <stp>RT_PX_CHG_NET_1D</stp>
        <tr r="F13" s="2"/>
      </tp>
      <tp>
        <v>0</v>
        <stp/>
        <stp>BDP|11706178434809044497|22</stp>
        <stp>IU34DHGJ Index</stp>
        <stp>RT_PX_CHG_NET_1D</stp>
        <tr r="C9" s="2"/>
      </tp>
      <tp>
        <v>-47</v>
        <stp/>
        <stp>BDP|790830239255904155|22</stp>
        <stp>IU34TITP Index</stp>
        <stp>RT_PX_CHG_NET_1D</stp>
        <tr r="F11" s="2"/>
      </tp>
      <tp>
        <v>207</v>
        <stp/>
        <stp>BDP|829376611397273501|22</stp>
        <stp>IU34QUMY Index</stp>
        <stp>RT_PX_CHG_NET_1D</stp>
        <tr r="F12" s="2"/>
      </tp>
      <tp>
        <v>3152</v>
        <stp/>
        <stp>BDP|324014065339385913|22</stp>
        <stp>IU34AEGX Index</stp>
        <stp>LAST_PRICE</stp>
        <tr r="H11" s="2"/>
      </tp>
      <tp>
        <v>-5400.12</v>
        <stp/>
        <stp>BDP|10391030116646488830|22</stp>
        <stp>IU34MHZA Index</stp>
        <stp>RT_PX_CHG_NET_1D</stp>
        <tr r="I7" s="2"/>
      </tp>
      <tp>
        <v>-39352.720000000001</v>
        <stp/>
        <stp>BDP|287958456770876283|22</stp>
        <stp>IU34YJER Index</stp>
        <stp>RT_PX_CHG_NET_1D</stp>
        <tr r="I4" s="2"/>
      </tp>
      <tp>
        <v>42844.75</v>
        <stp/>
        <stp>BDP|17193946509293595064|22</stp>
        <stp>IU34FCWY Index</stp>
        <stp>RT_PX_CHG_NET_1D</stp>
        <tr r="F5" s="2"/>
      </tp>
      <tp>
        <v>-8789.4</v>
        <stp/>
        <stp>BDP|18044969951945683164|22</stp>
        <stp>IU34FHAX Index</stp>
        <stp>RT_PX_CHG_NET_1D</stp>
        <tr r="I16" s="2"/>
      </tp>
      <tp>
        <v>-35793.1</v>
        <stp/>
        <stp>BDP|13489224420475277256|22</stp>
        <stp>IU34AAJH Index</stp>
        <stp>RT_PX_CHG_NET_1D</stp>
        <tr r="C17" s="2"/>
      </tp>
      <tp>
        <v>-35624.050000000003</v>
        <stp/>
        <stp>BDP|10920863911507076829|22</stp>
        <stp>IU34EXRU Index</stp>
        <stp>RT_PX_CHG_NET_1D</stp>
        <tr r="C15" s="2"/>
      </tp>
      <tp>
        <v>0</v>
        <stp/>
        <stp>BDP|14596389246862501490|22</stp>
        <stp>IU34HKGO Index</stp>
        <stp>RT_PX_CHG_NET_1D</stp>
        <tr r="C11" s="2"/>
      </tp>
      <tp>
        <v>-47</v>
        <stp/>
        <stp>BDP|17343087700292555703|22</stp>
        <stp>IU34AEGX Index</stp>
        <stp>RT_PX_CHG_NET_1D</stp>
        <tr r="I1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M12" sqref="M12"/>
    </sheetView>
  </sheetViews>
  <sheetFormatPr defaultRowHeight="15" x14ac:dyDescent="0.25"/>
  <cols>
    <col min="1" max="10" width="9.140625" bestFit="1" customWidth="1"/>
  </cols>
  <sheetData>
    <row r="1" spans="1:10" x14ac:dyDescent="0.25">
      <c r="A1" s="1"/>
      <c r="B1" s="1" t="s">
        <v>0</v>
      </c>
      <c r="C1" s="1" t="s">
        <v>1</v>
      </c>
      <c r="D1" s="1" t="s">
        <v>2</v>
      </c>
      <c r="E1" s="1" t="s">
        <v>0</v>
      </c>
      <c r="F1" s="1" t="s">
        <v>1</v>
      </c>
      <c r="G1" s="1" t="s">
        <v>2</v>
      </c>
      <c r="H1" s="1" t="s">
        <v>0</v>
      </c>
      <c r="I1" s="1" t="s">
        <v>1</v>
      </c>
      <c r="J1" s="1" t="s">
        <v>2</v>
      </c>
    </row>
    <row r="2" spans="1:10" x14ac:dyDescent="0.25">
      <c r="A2" t="s">
        <v>3</v>
      </c>
    </row>
    <row r="3" spans="1:10" x14ac:dyDescent="0.25">
      <c r="A3" t="s">
        <v>4</v>
      </c>
      <c r="B3">
        <f>_xll.BDP("IU34DXTZ Index", "LAST_PRICE")</f>
        <v>0</v>
      </c>
      <c r="C3">
        <f>_xll.BDP("IU34DXTZ Index", "RT_PX_CHG_NET_1D")</f>
        <v>0</v>
      </c>
      <c r="D3">
        <f>_xll.BDP("IU34NIMQ Index", "LAST_PRICE")</f>
        <v>0</v>
      </c>
      <c r="E3">
        <f>_xll.BDP("IU34SOVM Index", "LAST_PRICE")</f>
        <v>225643.98</v>
      </c>
      <c r="F3">
        <f>_xll.BDP("IU34SOVM Index", "RT_PX_CHG_NET_1D")</f>
        <v>3492.03</v>
      </c>
      <c r="G3">
        <f>_xll.BDP("IU34TKAC Index", "LAST_PRICE")</f>
        <v>34.450000000000003</v>
      </c>
      <c r="H3">
        <f>_xll.BDP("IU34LTIS Index", "LAST_PRICE")</f>
        <v>225644</v>
      </c>
      <c r="I3">
        <f>_xll.BDP("IU34LTIS Index", "RT_PX_CHG_NET_1D")</f>
        <v>3492.05</v>
      </c>
      <c r="J3">
        <f>_xll.BDP("IU34JCIV Index", "LAST_PRICE")</f>
        <v>34.450000000000003</v>
      </c>
    </row>
    <row r="4" spans="1:10" x14ac:dyDescent="0.25">
      <c r="A4" t="s">
        <v>5</v>
      </c>
      <c r="B4">
        <f>_xll.BDP("IU34XWQO Index", "LAST_PRICE")</f>
        <v>0</v>
      </c>
      <c r="C4">
        <f>_xll.BDP("IU34XWQO Index", "RT_PX_CHG_NET_1D")</f>
        <v>0</v>
      </c>
      <c r="D4">
        <f>_xll.BDP("IU34JIHS Index", "LAST_PRICE")</f>
        <v>0</v>
      </c>
      <c r="E4">
        <f>_xll.BDP("IU34PACT Index", "LAST_PRICE")</f>
        <v>490248.66</v>
      </c>
      <c r="F4">
        <f>_xll.BDP("IU34PACT Index", "RT_PX_CHG_NET_1D")</f>
        <v>-39352.720000000001</v>
      </c>
      <c r="G4">
        <f>_xll.BDP("IU34BDCL Index", "LAST_PRICE")</f>
        <v>74.86</v>
      </c>
      <c r="H4">
        <f>_xll.BDP("IU34YJER Index", "LAST_PRICE")</f>
        <v>490248.66</v>
      </c>
      <c r="I4">
        <f>_xll.BDP("IU34YJER Index", "RT_PX_CHG_NET_1D")</f>
        <v>-39352.720000000001</v>
      </c>
      <c r="J4">
        <f>_xll.BDP("IU34PLIQ Index", "LAST_PRICE")</f>
        <v>74.86</v>
      </c>
    </row>
    <row r="5" spans="1:10" x14ac:dyDescent="0.25">
      <c r="A5" t="s">
        <v>6</v>
      </c>
      <c r="B5">
        <f>_xll.BDP("IU34SCVE Index", "LAST_PRICE")</f>
        <v>0</v>
      </c>
      <c r="C5">
        <f>_xll.BDP("IU34SCVE Index", "RT_PX_CHG_NET_1D")</f>
        <v>0</v>
      </c>
      <c r="E5">
        <f>_xll.BDP("IU34FCWY Index", "LAST_PRICE")</f>
        <v>-264604.69</v>
      </c>
      <c r="F5">
        <f>_xll.BDP("IU34FCWY Index", "RT_PX_CHG_NET_1D")</f>
        <v>42844.75</v>
      </c>
      <c r="H5">
        <f>_xll.BDP("IU34OHYS Index", "LAST_PRICE")</f>
        <v>-264604.69</v>
      </c>
      <c r="I5">
        <f>_xll.BDP("IU34OHYS Index", "RT_PX_CHG_NET_1D")</f>
        <v>42844.75</v>
      </c>
    </row>
    <row r="6" spans="1:10" x14ac:dyDescent="0.25">
      <c r="A6" t="s">
        <v>7</v>
      </c>
    </row>
    <row r="7" spans="1:10" x14ac:dyDescent="0.25">
      <c r="A7" t="s">
        <v>4</v>
      </c>
      <c r="B7">
        <f>_xll.BDP("IU34FFWD Index", "LAST_PRICE")</f>
        <v>0</v>
      </c>
      <c r="C7">
        <f>_xll.BDP("IU34FFWD Index", "RT_PX_CHG_NET_1D")</f>
        <v>0</v>
      </c>
      <c r="D7">
        <f>_xll.BDP("IU34ELRX Index", "LAST_PRICE")</f>
        <v>0</v>
      </c>
      <c r="E7">
        <f>_xll.BDP("IU34YDTT Index", "LAST_PRICE")</f>
        <v>81440.86</v>
      </c>
      <c r="F7">
        <f>_xll.BDP("IU34YDTT Index", "RT_PX_CHG_NET_1D")</f>
        <v>-5400.14</v>
      </c>
      <c r="G7">
        <f>_xll.BDP("IU34LUZX Index", "LAST_PRICE")</f>
        <v>12.44</v>
      </c>
      <c r="H7">
        <f>_xll.BDP("IU34MHZA Index", "LAST_PRICE")</f>
        <v>81440.88</v>
      </c>
      <c r="I7">
        <f>_xll.BDP("IU34MHZA Index", "RT_PX_CHG_NET_1D")</f>
        <v>-5400.12</v>
      </c>
      <c r="J7">
        <f>_xll.BDP("IU34APAC Index", "LAST_PRICE")</f>
        <v>12.44</v>
      </c>
    </row>
    <row r="8" spans="1:10" x14ac:dyDescent="0.25">
      <c r="A8" t="s">
        <v>5</v>
      </c>
      <c r="B8">
        <f>_xll.BDP("IU34TTSU Index", "LAST_PRICE")</f>
        <v>0</v>
      </c>
      <c r="C8">
        <f>_xll.BDP("IU34TTSU Index", "RT_PX_CHG_NET_1D")</f>
        <v>0</v>
      </c>
      <c r="D8">
        <f>_xll.BDP("IU34YSRP Index", "LAST_PRICE")</f>
        <v>0</v>
      </c>
      <c r="E8">
        <f>_xll.BDP("IU34LWBJ Index", "LAST_PRICE")</f>
        <v>48674.11</v>
      </c>
      <c r="F8">
        <f>_xll.BDP("IU34LWBJ Index", "RT_PX_CHG_NET_1D")</f>
        <v>838.26</v>
      </c>
      <c r="G8">
        <f>_xll.BDP("IU34WVTK Index", "LAST_PRICE")</f>
        <v>7.43</v>
      </c>
      <c r="H8">
        <f>_xll.BDP("IU34GKLQ Index", "LAST_PRICE")</f>
        <v>48674.11</v>
      </c>
      <c r="I8">
        <f>_xll.BDP("IU34GKLQ Index", "RT_PX_CHG_NET_1D")</f>
        <v>838.26</v>
      </c>
      <c r="J8">
        <f>_xll.BDP("IU34QXFY Index", "LAST_PRICE")</f>
        <v>7.43</v>
      </c>
    </row>
    <row r="9" spans="1:10" x14ac:dyDescent="0.25">
      <c r="A9" t="s">
        <v>6</v>
      </c>
      <c r="B9">
        <f>_xll.BDP("IU34DHGJ Index", "LAST_PRICE")</f>
        <v>0</v>
      </c>
      <c r="C9">
        <f>_xll.BDP("IU34DHGJ Index", "RT_PX_CHG_NET_1D")</f>
        <v>0</v>
      </c>
      <c r="E9">
        <f>_xll.BDP("IU34AVAK Index", "LAST_PRICE")</f>
        <v>32766.75</v>
      </c>
      <c r="F9">
        <f>_xll.BDP("IU34AVAK Index", "RT_PX_CHG_NET_1D")</f>
        <v>-6238.4</v>
      </c>
      <c r="H9">
        <f>_xll.BDP("IU34VSQW Index", "LAST_PRICE")</f>
        <v>32766.75</v>
      </c>
      <c r="I9">
        <f>_xll.BDP("IU34VSQW Index", "RT_PX_CHG_NET_1D")</f>
        <v>-6238.4</v>
      </c>
    </row>
    <row r="10" spans="1:10" x14ac:dyDescent="0.25">
      <c r="A10" t="s">
        <v>8</v>
      </c>
    </row>
    <row r="11" spans="1:10" x14ac:dyDescent="0.25">
      <c r="A11" t="s">
        <v>4</v>
      </c>
      <c r="B11">
        <f>_xll.BDP("IU34HKGO Index", "LAST_PRICE")</f>
        <v>0</v>
      </c>
      <c r="C11">
        <f>_xll.BDP("IU34HKGO Index", "RT_PX_CHG_NET_1D")</f>
        <v>0</v>
      </c>
      <c r="D11">
        <f>_xll.BDP("IU34ALBA Index", "LAST_PRICE")</f>
        <v>0</v>
      </c>
      <c r="E11">
        <f>_xll.BDP("IU34TITP Index", "LAST_PRICE")</f>
        <v>3152</v>
      </c>
      <c r="F11">
        <f>_xll.BDP("IU34TITP Index", "RT_PX_CHG_NET_1D")</f>
        <v>-47</v>
      </c>
      <c r="G11">
        <f>_xll.BDP("IU34SVVX Index", "LAST_PRICE")</f>
        <v>0.48</v>
      </c>
      <c r="H11">
        <f>_xll.BDP("IU34AEGX Index", "LAST_PRICE")</f>
        <v>3152</v>
      </c>
      <c r="I11">
        <f>_xll.BDP("IU34AEGX Index", "RT_PX_CHG_NET_1D")</f>
        <v>-47</v>
      </c>
      <c r="J11">
        <f>_xll.BDP("IU34NFPU Index", "LAST_PRICE")</f>
        <v>0.48</v>
      </c>
    </row>
    <row r="12" spans="1:10" x14ac:dyDescent="0.25">
      <c r="A12" t="s">
        <v>5</v>
      </c>
      <c r="B12">
        <f>_xll.BDP("IU34TIFI Index", "LAST_PRICE")</f>
        <v>0</v>
      </c>
      <c r="C12">
        <f>_xll.BDP("IU34TIFI Index", "RT_PX_CHG_NET_1D")</f>
        <v>0</v>
      </c>
      <c r="D12">
        <f>_xll.BDP("IU34WQJC Index", "LAST_PRICE")</f>
        <v>0</v>
      </c>
      <c r="E12">
        <f>_xll.BDP("IU34QUMY Index", "LAST_PRICE")</f>
        <v>836</v>
      </c>
      <c r="F12">
        <f>_xll.BDP("IU34QUMY Index", "RT_PX_CHG_NET_1D")</f>
        <v>207</v>
      </c>
      <c r="G12">
        <f>_xll.BDP("IU34FYND Index", "LAST_PRICE")</f>
        <v>0.13</v>
      </c>
      <c r="H12">
        <f>_xll.BDP("IU34SQPV Index", "LAST_PRICE")</f>
        <v>836</v>
      </c>
      <c r="I12">
        <f>_xll.BDP("IU34SQPV Index", "RT_PX_CHG_NET_1D")</f>
        <v>207</v>
      </c>
      <c r="J12">
        <f>_xll.BDP("IU34XSKZ Index", "LAST_PRICE")</f>
        <v>0.13</v>
      </c>
    </row>
    <row r="13" spans="1:10" x14ac:dyDescent="0.25">
      <c r="A13" t="s">
        <v>6</v>
      </c>
      <c r="B13">
        <f>_xll.BDP("IU34EIVC Index", "LAST_PRICE")</f>
        <v>0</v>
      </c>
      <c r="C13">
        <f>_xll.BDP("IU34EIVC Index", "RT_PX_CHG_NET_1D")</f>
        <v>0</v>
      </c>
      <c r="E13">
        <f>_xll.BDP("IU34LCXM Index", "LAST_PRICE")</f>
        <v>2316</v>
      </c>
      <c r="F13">
        <f>_xll.BDP("IU34LCXM Index", "RT_PX_CHG_NET_1D")</f>
        <v>-254</v>
      </c>
      <c r="H13">
        <f>_xll.BDP("IU34LGHP Index", "LAST_PRICE")</f>
        <v>2316</v>
      </c>
      <c r="I13">
        <f>_xll.BDP("IU34LGHP Index", "RT_PX_CHG_NET_1D")</f>
        <v>-254</v>
      </c>
    </row>
    <row r="14" spans="1:10" x14ac:dyDescent="0.25">
      <c r="A14" t="s">
        <v>9</v>
      </c>
    </row>
    <row r="15" spans="1:10" x14ac:dyDescent="0.25">
      <c r="A15" t="s">
        <v>4</v>
      </c>
      <c r="B15">
        <f>_xll.BDP("IU34EXRU Index", "LAST_PRICE")</f>
        <v>189314</v>
      </c>
      <c r="C15">
        <f>_xll.BDP("IU34EXRU Index", "RT_PX_CHG_NET_1D")</f>
        <v>-35624.050000000003</v>
      </c>
      <c r="D15">
        <f>_xll.BDP("IU34TVHP Index", "LAST_PRICE")</f>
        <v>28.91</v>
      </c>
      <c r="E15">
        <f>_xll.BDP("IU34XYDT Index", "LAST_PRICE")</f>
        <v>81265.179999999993</v>
      </c>
      <c r="F15">
        <f>_xll.BDP("IU34XYDT Index", "RT_PX_CHG_NET_1D")</f>
        <v>-9349.65</v>
      </c>
      <c r="G15">
        <f>_xll.BDP("IU34FSWP Index", "LAST_PRICE")</f>
        <v>12.41</v>
      </c>
      <c r="H15">
        <f>_xll.BDP("IU34VDQG Index", "LAST_PRICE")</f>
        <v>270579.19</v>
      </c>
      <c r="I15">
        <f>_xll.BDP("IU34VDQG Index", "RT_PX_CHG_NET_1D")</f>
        <v>-44973.69</v>
      </c>
      <c r="J15">
        <f>_xll.BDP("IU34BTTU Index", "LAST_PRICE")</f>
        <v>41.32</v>
      </c>
    </row>
    <row r="16" spans="1:10" x14ac:dyDescent="0.25">
      <c r="A16" t="s">
        <v>5</v>
      </c>
      <c r="B16">
        <f>_xll.BDP("IU34YKQK Index", "LAST_PRICE")</f>
        <v>42261.47</v>
      </c>
      <c r="C16">
        <f>_xll.BDP("IU34YKQK Index", "RT_PX_CHG_NET_1D")</f>
        <v>169.05</v>
      </c>
      <c r="D16">
        <f>_xll.BDP("IU34NLSL Index", "LAST_PRICE")</f>
        <v>6.45</v>
      </c>
      <c r="E16">
        <f>_xll.BDP("IU34QDRX Index", "LAST_PRICE")</f>
        <v>54414.71</v>
      </c>
      <c r="F16">
        <f>_xll.BDP("IU34QDRX Index", "RT_PX_CHG_NET_1D")</f>
        <v>-8958.4599999999991</v>
      </c>
      <c r="G16">
        <f>_xll.BDP("IU34ZTIH Index", "LAST_PRICE")</f>
        <v>8.31</v>
      </c>
      <c r="H16">
        <f>_xll.BDP("IU34FHAX Index", "LAST_PRICE")</f>
        <v>96676.19</v>
      </c>
      <c r="I16">
        <f>_xll.BDP("IU34FHAX Index", "RT_PX_CHG_NET_1D")</f>
        <v>-8789.4</v>
      </c>
      <c r="J16">
        <f>_xll.BDP("IU34BNCI Index", "LAST_PRICE")</f>
        <v>14.76</v>
      </c>
    </row>
    <row r="17" spans="1:10" x14ac:dyDescent="0.25">
      <c r="A17" t="s">
        <v>6</v>
      </c>
      <c r="B17">
        <f>_xll.BDP("IU34AAJH Index", "LAST_PRICE")</f>
        <v>147052.53</v>
      </c>
      <c r="C17">
        <f>_xll.BDP("IU34AAJH Index", "RT_PX_CHG_NET_1D")</f>
        <v>-35793.1</v>
      </c>
      <c r="E17">
        <f>_xll.BDP("IU34LPLG Index", "LAST_PRICE")</f>
        <v>26850.47</v>
      </c>
      <c r="F17">
        <f>_xll.BDP("IU34LPLG Index", "RT_PX_CHG_NET_1D")</f>
        <v>-391.19</v>
      </c>
      <c r="H17">
        <f>_xll.BDP("IU34WADG Index", "LAST_PRICE")</f>
        <v>173903</v>
      </c>
      <c r="I17">
        <f>_xll.BDP("IU34WADG Index", "RT_PX_CHG_NET_1D")</f>
        <v>-36184.28</v>
      </c>
    </row>
    <row r="18" spans="1:10" x14ac:dyDescent="0.25">
      <c r="A18" t="s">
        <v>10</v>
      </c>
    </row>
    <row r="19" spans="1:10" x14ac:dyDescent="0.25">
      <c r="A19" t="s">
        <v>4</v>
      </c>
      <c r="B19">
        <f>_xll.BDP("IU34QCTN Index", "LAST_PRICE")</f>
        <v>40942.21</v>
      </c>
      <c r="C19">
        <f>_xll.BDP("IU34QCTN Index", "RT_PX_CHG_NET_1D")</f>
        <v>-219.82</v>
      </c>
      <c r="D19">
        <f>_xll.BDP("IU34WZPM Index", "LAST_PRICE")</f>
        <v>6.25</v>
      </c>
      <c r="E19">
        <f>_xll.BDP("IU34HNWB Index", "LAST_PRICE")</f>
        <v>33167.769999999997</v>
      </c>
      <c r="F19">
        <f>_xll.BDP("IU34HNWB Index", "RT_PX_CHG_NET_1D")</f>
        <v>2106.85</v>
      </c>
      <c r="G19">
        <f>_xll.BDP("IU34URJU Index", "LAST_PRICE")</f>
        <v>5.0599999999999996</v>
      </c>
      <c r="H19">
        <f>_xll.BDP("IU34MXKT Index", "LAST_PRICE")</f>
        <v>74110</v>
      </c>
      <c r="I19">
        <f>_xll.BDP("IU34MXKT Index", "RT_PX_CHG_NET_1D")</f>
        <v>1887.05</v>
      </c>
      <c r="J19">
        <f>_xll.BDP("IU34ZLIW Index", "LAST_PRICE")</f>
        <v>11.31</v>
      </c>
    </row>
    <row r="20" spans="1:10" x14ac:dyDescent="0.25">
      <c r="A20" t="s">
        <v>5</v>
      </c>
      <c r="B20">
        <f>_xll.BDP("IU34SNEP Index", "LAST_PRICE")</f>
        <v>9907</v>
      </c>
      <c r="C20">
        <f>_xll.BDP("IU34SNEP Index", "RT_PX_CHG_NET_1D")</f>
        <v>2111</v>
      </c>
      <c r="D20">
        <f>_xll.BDP("IU34XAMA Index", "LAST_PRICE")</f>
        <v>1.51</v>
      </c>
      <c r="E20">
        <f>_xll.BDP("IU34QAUR Index", "LAST_PRICE")</f>
        <v>8585.07</v>
      </c>
      <c r="F20">
        <f>_xll.BDP("IU34QAUR Index", "RT_PX_CHG_NET_1D")</f>
        <v>-30.9</v>
      </c>
      <c r="G20">
        <f>_xll.BDP("IU34CMNN Index", "LAST_PRICE")</f>
        <v>1.31</v>
      </c>
      <c r="H20">
        <f>_xll.BDP("IU34RKXO Index", "LAST_PRICE")</f>
        <v>18492.07</v>
      </c>
      <c r="I20">
        <f>_xll.BDP("IU34RKXO Index", "RT_PX_CHG_NET_1D")</f>
        <v>2080.1</v>
      </c>
      <c r="J20">
        <f>_xll.BDP("IU34YOQM Index", "LAST_PRICE")</f>
        <v>2.82</v>
      </c>
    </row>
    <row r="21" spans="1:10" x14ac:dyDescent="0.25">
      <c r="A21" t="s">
        <v>6</v>
      </c>
      <c r="B21">
        <f>_xll.BDP("IU34OOXC Index", "LAST_PRICE")</f>
        <v>31035.21</v>
      </c>
      <c r="C21">
        <f>_xll.BDP("IU34OOXC Index", "RT_PX_CHG_NET_1D")</f>
        <v>-2330.8200000000002</v>
      </c>
      <c r="E21">
        <f>_xll.BDP("IU34BWFD Index", "LAST_PRICE")</f>
        <v>24582.7</v>
      </c>
      <c r="F21">
        <f>_xll.BDP("IU34BWFD Index", "RT_PX_CHG_NET_1D")</f>
        <v>2137.75</v>
      </c>
      <c r="H21">
        <f>_xll.BDP("IU34MHIR Index", "LAST_PRICE")</f>
        <v>55617.91</v>
      </c>
      <c r="I21">
        <f>_xll.BDP("IU34MHIR Index", "RT_PX_CHG_NET_1D")</f>
        <v>-193.07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DUBREIL Hugo</cp:lastModifiedBy>
  <dcterms:created xsi:type="dcterms:W3CDTF">2013-04-03T15:49:21Z</dcterms:created>
  <dcterms:modified xsi:type="dcterms:W3CDTF">2026-03-27T21:00:22Z</dcterms:modified>
</cp:coreProperties>
</file>